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b56d877734437d" /></Relationships>
</file>

<file path=xl/workbook.xml><?xml version="1.0" encoding="utf-8"?>
<x:workbook xmlns:x="http://schemas.openxmlformats.org/spreadsheetml/2006/main">
  <x:sheets>
    <x:sheet xmlns:r="http://schemas.openxmlformats.org/officeDocument/2006/relationships" name="Basic Tiles" sheetId="1" r:id="R1f8c7104227e4106"/>
    <x:sheet xmlns:r="http://schemas.openxmlformats.org/officeDocument/2006/relationships" name="Special Tiles" sheetId="2" r:id="Re03f9a36b7034334"/>
    <x:sheet xmlns:r="http://schemas.openxmlformats.org/officeDocument/2006/relationships" name="Boons" sheetId="3" r:id="Rf22ead4320d645e3"/>
    <x:sheet xmlns:r="http://schemas.openxmlformats.org/officeDocument/2006/relationships" name="Burdens" sheetId="4" r:id="R986f770843c24f00"/>
    <x:sheet xmlns:r="http://schemas.openxmlformats.org/officeDocument/2006/relationships" name="Arrivals" sheetId="5" r:id="R8d799919fc7a44cf"/>
    <x:sheet xmlns:r="http://schemas.openxmlformats.org/officeDocument/2006/relationships" name="Golden Boons" sheetId="6" r:id="R0f101164a4db4664"/>
    <x:sheet xmlns:r="http://schemas.openxmlformats.org/officeDocument/2006/relationships" name="Golden Tiles" sheetId="7" r:id="R4b4a59202ec1463c"/>
    <x:sheet xmlns:r="http://schemas.openxmlformats.org/officeDocument/2006/relationships" name="Target Cards" sheetId="8" r:id="Rde1ed2903d8347b4"/>
    <x:sheet xmlns:r="http://schemas.openxmlformats.org/officeDocument/2006/relationships" name="Steward's Ledger" sheetId="9" r:id="R3480ce8fe2b14981"/>
    <x:sheet xmlns:r="http://schemas.openxmlformats.org/officeDocument/2006/relationships" name="Card Fit Audit" sheetId="10" r:id="R1600abdc7b4b419c"/>
    <x:sheet xmlns:r="http://schemas.openxmlformats.org/officeDocument/2006/relationships" name="Encounter Text Rules" sheetId="11" r:id="R7e07f03f17da4795"/>
  </x:sheets>
</x:workbook>
</file>

<file path=xl/sharedStrings.xml><?xml version="1.0" encoding="utf-8"?>
<x:sst xmlns:x="http://schemas.openxmlformats.org/spreadsheetml/2006/main">
  <x:si>
    <x:t xml:space="preserve">Basic Tiles — Paired Basic and Upgraded Sides</x:t>
  </x:si>
  <x:si>
    <x:t xml:space="preserve">Each row contains one Basic Core Tile and its upgraded side, with production-facing costs, placement rules, effects, Population, and Renown.</x:t>
  </x:si>
  <x:si>
    <x:t xml:space="preserve">Reference</x:t>
  </x:si>
  <x:si>
    <x:t xml:space="preserve">Tile Type</x:t>
  </x:si>
  <x:si>
    <x:t xml:space="preserve">Tile Category</x:t>
  </x:si>
  <x:si>
    <x:t xml:space="preserve">Basic Tile Name</x:t>
  </x:si>
  <x:si>
    <x:t xml:space="preserve">Size (Hexes)</x:t>
  </x:si>
  <x:si>
    <x:t xml:space="preserve">Stock</x:t>
  </x:si>
  <x:si>
    <x:t xml:space="preserve">Placement Cost</x:t>
  </x:si>
  <x:si>
    <x:t xml:space="preserve">Placement Rules</x:t>
  </x:si>
  <x:si>
    <x:t xml:space="preserve">Basic Effect / Benefit</x:t>
  </x:si>
  <x:si>
    <x:t xml:space="preserve">Basic Population</x:t>
  </x:si>
  <x:si>
    <x:t xml:space="preserve">Basic Renown</x:t>
  </x:si>
  <x:si>
    <x:t xml:space="preserve">Upgraded Tile Name</x:t>
  </x:si>
  <x:si>
    <x:t xml:space="preserve">Upgrade Cost</x:t>
  </x:si>
  <x:si>
    <x:t xml:space="preserve">Upgraded Effect / Benefit</x:t>
  </x:si>
  <x:si>
    <x:t xml:space="preserve">Upgraded Population</x:t>
  </x:si>
  <x:si>
    <x:t xml:space="preserve">Upgraded Renown</x:t>
  </x:si>
  <x:si>
    <x:t xml:space="preserve">Status / Notes</x:t>
  </x:si>
  <x:si>
    <x:t xml:space="preserve">C-01</x:t>
  </x:si>
  <x:si>
    <x:t xml:space="preserve">Core</x:t>
  </x:si>
  <x:si>
    <x:t xml:space="preserve">Resource</x:t>
  </x:si>
  <x:si>
    <x:t xml:space="preserve">Lumber Yard</x:t>
  </x:si>
  <x:si>
    <x:t xml:space="preserve">0</x:t>
  </x:si>
  <x:si>
    <x:t xml:space="preserve">Place on Woodland.</x:t>
  </x:si>
  <x:si>
    <x:t xml:space="preserve">Activate: Gain 2 Wood.</x:t>
  </x:si>
  <x:si>
    <x:t xml:space="preserve">Sustainable Lumber Yard</x:t>
  </x:si>
  <x:si>
    <x:t xml:space="preserve">Activate: Gain 3 Wood and 2 Food.</x:t>
  </x:si>
  <x:si>
    <x:t xml:space="preserve">Linked Production: the first activation of an adjacent matching Resource Tile group each round includes the chosen tile and each immediately adjacent, non-Overstrained matching producer. Further activations involving that group that round produce only from the chosen tile.</x:t>
  </x:si>
  <x:si>
    <x:t xml:space="preserve">C-02</x:t>
  </x:si>
  <x:si>
    <x:t xml:space="preserve">Mine Tunnel</x:t>
  </x:si>
  <x:si>
    <x:t xml:space="preserve">Place on Mountains.</x:t>
  </x:si>
  <x:si>
    <x:t xml:space="preserve">Activate: Gain 2 Stone.</x:t>
  </x:si>
  <x:si>
    <x:t xml:space="preserve">Mine Shaft</x:t>
  </x:si>
  <x:si>
    <x:t xml:space="preserve">Activate: Gain 3 Stone and 2 Metal.</x:t>
  </x:si>
  <x:si>
    <x:t xml:space="preserve">C-03</x:t>
  </x:si>
  <x:si>
    <x:t xml:space="preserve">Gathering Outpost</x:t>
  </x:si>
  <x:si>
    <x:t xml:space="preserve">Place on Heaths.</x:t>
  </x:si>
  <x:si>
    <x:t xml:space="preserve">Activate: Gain 2 Herbs.</x:t>
  </x:si>
  <x:si>
    <x:t xml:space="preserve">Gathering Lodge</x:t>
  </x:si>
  <x:si>
    <x:t xml:space="preserve">Activate: Gain 3 Herbs and 2 Food.</x:t>
  </x:si>
  <x:si>
    <x:t xml:space="preserve">C-04</x:t>
  </x:si>
  <x:si>
    <x:t xml:space="preserve">Farmstead</x:t>
  </x:si>
  <x:si>
    <x:t xml:space="preserve">Place on Arable Land.</x:t>
  </x:si>
  <x:si>
    <x:t xml:space="preserve">Activate: Gain 2 Food.</x:t>
  </x:si>
  <x:si>
    <x:t xml:space="preserve">Artisan Farm</x:t>
  </x:si>
  <x:si>
    <x:t xml:space="preserve">Activate: Gain 3 Food and 2 Goods.</x:t>
  </x:si>
  <x:si>
    <x:t xml:space="preserve">C-05</x:t>
  </x:si>
  <x:si>
    <x:t xml:space="preserve">Housing</x:t>
  </x:si>
  <x:si>
    <x:t xml:space="preserve">Cabin</x:t>
  </x:si>
  <x:si>
    <x:t xml:space="preserve">2 Wood
5 Food</x:t>
  </x:si>
  <x:si>
    <x:t xml:space="preserve">Passive: +2 Population if part of a Housing cluster.</x:t>
  </x:si>
  <x:si>
    <x:t xml:space="preserve">Fine Cabin</x:t>
  </x:si>
  <x:si>
    <x:t xml:space="preserve">2 Stone
5 Food</x:t>
  </x:si>
  <x:si>
    <x:t xml:space="preserve">Passive: +3 Population if part of a Housing cluster. +2 Renown if adjacent to Travel.</x:t>
  </x:si>
  <x:si>
    <x:t xml:space="preserve">C-06</x:t>
  </x:si>
  <x:si>
    <x:t xml:space="preserve">Cottage</x:t>
  </x:si>
  <x:si>
    <x:t xml:space="preserve">2 Wood
2 Metal
8 Food</x:t>
  </x:si>
  <x:si>
    <x:t xml:space="preserve">Place adjacent to a Housing Tile.</x:t>
  </x:si>
  <x:si>
    <x:t xml:space="preserve">Passive: +3 Population if part of a Housing cluster.</x:t>
  </x:si>
  <x:si>
    <x:t xml:space="preserve">Fine Cottage</x:t>
  </x:si>
  <x:si>
    <x:t xml:space="preserve">2 Stone
4 Metal
8 Food</x:t>
  </x:si>
  <x:si>
    <x:t xml:space="preserve">Passive: +5 Population if part of a Housing cluster. +3 Renown if adjacent to Travel.</x:t>
  </x:si>
  <x:si>
    <x:t xml:space="preserve">C-07</x:t>
  </x:si>
  <x:si>
    <x:t xml:space="preserve">Stedding</x:t>
  </x:si>
  <x:si>
    <x:t xml:space="preserve">4 Stone
6 Metal
8 Food</x:t>
  </x:si>
  <x:si>
    <x:t xml:space="preserve">Passive: +5 Population if part of a Housing cluster.</x:t>
  </x:si>
  <x:si>
    <x:t xml:space="preserve">Fine Stedding</x:t>
  </x:si>
  <x:si>
    <x:t xml:space="preserve">Passive: +7 Population if part of a Housing cluster. +5 Renown if adjacent to Travel.</x:t>
  </x:si>
  <x:si>
    <x:t xml:space="preserve">C-08</x:t>
  </x:si>
  <x:si>
    <x:t xml:space="preserve">Inn</x:t>
  </x:si>
  <x:si>
    <x:t xml:space="preserve">6 Metal
8 Food
2 Goods</x:t>
  </x:si>
  <x:si>
    <x:t xml:space="preserve">Place adjacent to a Travel Tile.</x:t>
  </x:si>
  <x:si>
    <x:t xml:space="preserve">Activate: Add 1 timer token to an active Arrival (max 3).</x:t>
  </x:si>
  <x:si>
    <x:t xml:space="preserve">Dawn Break Inn</x:t>
  </x:si>
  <x:si>
    <x:t xml:space="preserve">8 Food
5 Goods</x:t>
  </x:si>
  <x:si>
    <x:t xml:space="preserve">Activate: Add up to 2 timer tokens to an active Arrival (max 3).</x:t>
  </x:si>
  <x:si>
    <x:t xml:space="preserve">Standard Housing unchanged except cleaned timer wording.</x:t>
  </x:si>
  <x:si>
    <x:t xml:space="preserve">C-09</x:t>
  </x:si>
  <x:si>
    <x:t xml:space="preserve">Social</x:t>
  </x:si>
  <x:si>
    <x:t xml:space="preserve">Tavern</x:t>
  </x:si>
  <x:si>
    <x:t xml:space="preserve">2 Wood
2 Metal
5 Food</x:t>
  </x:si>
  <x:si>
    <x:t xml:space="preserve">Activate: Remove 1 Strain from an adjacent tile.</x:t>
  </x:si>
  <x:si>
    <x:t xml:space="preserve">The Steward’s Arms</x:t>
  </x:si>
  <x:si>
    <x:t xml:space="preserve">2 Stone
4 Metal
5 Food</x:t>
  </x:si>
  <x:si>
    <x:t xml:space="preserve">Activate: Remove 1 Strain from up to 2 adjacent tiles.</x:t>
  </x:si>
  <x:si>
    <x:t xml:space="preserve">C-10</x:t>
  </x:si>
  <x:si>
    <x:t xml:space="preserve">Eatery</x:t>
  </x:si>
  <x:si>
    <x:t xml:space="preserve">2 Wood
5 Food
1 Goods</x:t>
  </x:si>
  <x:si>
    <x:t xml:space="preserve">The Crock and Ladle</x:t>
  </x:si>
  <x:si>
    <x:t xml:space="preserve">4 Metal
5 Food
2 Goods</x:t>
  </x:si>
  <x:si>
    <x:t xml:space="preserve">Cost and scoring updated.</x:t>
  </x:si>
  <x:si>
    <x:t xml:space="preserve">C-11</x:t>
  </x:si>
  <x:si>
    <x:t xml:space="preserve">Wellbeing</x:t>
  </x:si>
  <x:si>
    <x:t xml:space="preserve">Washhouse</x:t>
  </x:si>
  <x:si>
    <x:t xml:space="preserve">2 Stone
1 Metal
5 Herbs</x:t>
  </x:si>
  <x:si>
    <x:t xml:space="preserve">Place adjacent to Water/River terrain.</x:t>
  </x:si>
  <x:si>
    <x:t xml:space="preserve">Sweet Flag Bathhouse</x:t>
  </x:si>
  <x:si>
    <x:t xml:space="preserve">2 Stone
2 Metal
8 Herbs</x:t>
  </x:si>
  <x:si>
    <x:t xml:space="preserve">Cost, scoring, and recovery model updated.</x:t>
  </x:si>
  <x:si>
    <x:t xml:space="preserve">C-12</x:t>
  </x:si>
  <x:si>
    <x:t xml:space="preserve">Apothecary</x:t>
  </x:si>
  <x:si>
    <x:t xml:space="preserve">2 Wood
2 Stone
5 Herbs</x:t>
  </x:si>
  <x:si>
    <x:t xml:space="preserve">Amaryllis Bloom</x:t>
  </x:si>
  <x:si>
    <x:t xml:space="preserve">4 Wood
8 Herbs
4 Goods</x:t>
  </x:si>
  <x:si>
    <x:t xml:space="preserve">Activate: Remove up to 2 Strain from 1 adjacent tile.</x:t>
  </x:si>
  <x:si>
    <x:t xml:space="preserve">Amaryllis Bloom upgraded scoring increased to 10 Renown total so the specialist recovery upgrade is cost-appropriate.</x:t>
  </x:si>
  <x:si>
    <x:t xml:space="preserve">C-13</x:t>
  </x:si>
  <x:si>
    <x:t xml:space="preserve">Crafting</x:t>
  </x:si>
  <x:si>
    <x:t xml:space="preserve">Workshops</x:t>
  </x:si>
  <x:si>
    <x:t xml:space="preserve">2 Wood
1 Metal</x:t>
  </x:si>
  <x:si>
    <x:t xml:space="preserve">Passive: Once per round, when upgrading an adjacent Core Tile, reduce its cost by 1 resource.</x:t>
  </x:si>
  <x:si>
    <x:t xml:space="preserve">The Makers Conclave</x:t>
  </x:si>
  <x:si>
    <x:t xml:space="preserve">3 Wood
3 Metal
1 Goods</x:t>
  </x:si>
  <x:si>
    <x:t xml:space="preserve">Passive: Once per round, when upgrading a reachable Core Tile, reduce its cost by up to 2 resources.</x:t>
  </x:si>
  <x:si>
    <x:t xml:space="preserve">Updated passive effects per locked design.</x:t>
  </x:si>
  <x:si>
    <x:t xml:space="preserve">C-14</x:t>
  </x:si>
  <x:si>
    <x:t xml:space="preserve">Merchant</x:t>
  </x:si>
  <x:si>
    <x:t xml:space="preserve">Market Stalls</x:t>
  </x:si>
  <x:si>
    <x:t xml:space="preserve">2 Wood
1 Stone
1 Goods</x:t>
  </x:si>
  <x:si>
    <x:t xml:space="preserve">Passive: Once per round, when paying a cost, you may spend 1 Goods as 1 resource of any type.</x:t>
  </x:si>
  <x:si>
    <x:t xml:space="preserve">The Seldes</x:t>
  </x:si>
  <x:si>
    <x:t xml:space="preserve">3 Stone
3 Metal
3 Goods</x:t>
  </x:si>
  <x:si>
    <x:t xml:space="preserve">Passive: Once per round, when paying a cost, you may spend 1 Goods as up to 2 resources of one type.</x:t>
  </x:si>
  <x:si>
    <x:t xml:space="preserve">C-15</x:t>
  </x:si>
  <x:si>
    <x:t xml:space="preserve">Travel</x:t>
  </x:si>
  <x:si>
    <x:t xml:space="preserve">Path</x:t>
  </x:si>
  <x:si>
    <x:t xml:space="preserve">Passive: +1 Renown if adjacent to 3 or more non-Travel Tiles.</x:t>
  </x:si>
  <x:si>
    <x:t xml:space="preserve">Improved Path</x:t>
  </x:si>
  <x:si>
    <x:t xml:space="preserve">2 Stone or 2 Wood</x:t>
  </x:si>
  <x:si>
    <x:t xml:space="preserve">Passive: +1 bonus Renown for each other Travel Tile in this connected Travel group, max +4.</x:t>
  </x:si>
  <x:si>
    <x:t xml:space="preserve">Updated Travel scoring: upgraded Travel has printed 1 Renown plus max +4 bonus from other Travel Tiles in the connected Travel group, for total ceiling 5.</x:t>
  </x:si>
  <x:si>
    <x:t xml:space="preserve">C-16</x:t>
  </x:si>
  <x:si>
    <x:t xml:space="preserve">Street</x:t>
  </x:si>
  <x:si>
    <x:t xml:space="preserve">Improved Street</x:t>
  </x:si>
  <x:si>
    <x:t xml:space="preserve">3 Stone or 3 Wood</x:t>
  </x:si>
  <x:si>
    <x:t xml:space="preserve">C-17</x:t>
  </x:si>
  <x:si>
    <x:t xml:space="preserve">Track</x:t>
  </x:si>
  <x:si>
    <x:t xml:space="preserve">Improved Track</x:t>
  </x:si>
  <x:si>
    <x:t xml:space="preserve">4 Stone or 4 Wood</x:t>
  </x:si>
  <x:si>
    <x:t xml:space="preserve">C-18</x:t>
  </x:si>
  <x:si>
    <x:t xml:space="preserve">Common Land</x:t>
  </x:si>
  <x:si>
    <x:t xml:space="preserve">2 Metal
2 Herbs</x:t>
  </x:si>
  <x:si>
    <x:t xml:space="preserve">Passive: 1 adjacent Housing Tile has Supported while this tile is not Overstrained.</x:t>
  </x:si>
  <x:si>
    <x:t xml:space="preserve">The Pleasance</x:t>
  </x:si>
  <x:si>
    <x:t xml:space="preserve">Passive: Up to 3 adjacent Housing Tiles have Supported while this tile is not Overstrained.</x:t>
  </x:si>
  <x:si>
    <x:t xml:space="preserve">C-19</x:t>
  </x:si>
  <x:si>
    <x:t xml:space="preserve">Bridge</x:t>
  </x:si>
  <x:si>
    <x:t xml:space="preserve">2 Wood</x:t>
  </x:si>
  <x:si>
    <x:t xml:space="preserve">Place on Water/River terrain.</x:t>
  </x:si>
  <x:si>
    <x:t xml:space="preserve">Passive: Connect the settlement network across this river.</x:t>
  </x:si>
  <x:si>
    <x:t xml:space="preserve">Stone Bridge</x:t>
  </x:si>
  <x:si>
    <x:t xml:space="preserve">2 Stone</x:t>
  </x:si>
  <x:si>
    <x:t xml:space="preserve">Passive: Connect the settlement network across this river. Supported.</x:t>
  </x:si>
  <x:si>
    <x:t xml:space="preserve">C-20</x:t>
  </x:si>
  <x:si>
    <x:t xml:space="preserve">Place on Ruins.</x:t>
  </x:si>
  <x:si>
    <x:t xml:space="preserve">Activate: Gain 2 Metal.</x:t>
  </x:si>
  <x:si>
    <x:t xml:space="preserve">Activate: Gain 3 Metal and 2 Goods.</x:t>
  </x:si>
  <x:si>
    <x:t xml:space="preserve">C-21</x:t>
  </x:si>
  <x:si>
    <x:t xml:space="preserve">The Vaults</x:t>
  </x:si>
  <x:si>
    <x:t xml:space="preserve">3 Wood
3 Stone
5 Herbs</x:t>
  </x:si>
  <x:si>
    <x:t xml:space="preserve">Place adjacent to Ruins terrain.</x:t>
  </x:si>
  <x:si>
    <x:t xml:space="preserve">5 Wood
5 Stone
5 Herbs</x:t>
  </x:si>
  <x:si>
    <x:t xml:space="preserve">Special Tiles — Current Build</x:t>
  </x:si>
  <x:si>
    <x:t xml:space="preserve">Unlocked by Arrivals. Effects are one-sided unless future production data states otherwise.</x:t>
  </x:si>
  <x:si>
    <x:t xml:space="preserve">Tile ID</x:t>
  </x:si>
  <x:si>
    <x:t xml:space="preserve">Tile name</x:t>
  </x:si>
  <x:si>
    <x:t xml:space="preserve">Role / category</x:t>
  </x:si>
  <x:si>
    <x:t xml:space="preserve">Size</x:t>
  </x:si>
  <x:si>
    <x:t xml:space="preserve">Unlocked by Arrival</x:t>
  </x:si>
  <x:si>
    <x:t xml:space="preserve">Placement rules</x:t>
  </x:si>
  <x:si>
    <x:t xml:space="preserve">Effect / benefit</x:t>
  </x:si>
  <x:si>
    <x:t xml:space="preserve">Population</x:t>
  </x:si>
  <x:si>
    <x:t xml:space="preserve">Renown</x:t>
  </x:si>
  <x:si>
    <x:t xml:space="preserve">Notes</x:t>
  </x:si>
  <x:si>
    <x:t xml:space="preserve">special_adventurers_guild</x:t>
  </x:si>
  <x:si>
    <x:t xml:space="preserve">Adventurers' Guild</x:t>
  </x:si>
  <x:si>
    <x:t xml:space="preserve">Quiet Quest</x:t>
  </x:si>
  <x:si>
    <x:t xml:space="preserve">Place adjacent to a Social Tile.</x:t>
  </x:si>
  <x:si>
    <x:t xml:space="preserve">special_alchemist_s_workshop</x:t>
  </x:si>
  <x:si>
    <x:t xml:space="preserve">Alchemist's Workshop</x:t>
  </x:si>
  <x:si>
    <x:t xml:space="preserve">Transmutation Traveller</x:t>
  </x:si>
  <x:si>
    <x:t xml:space="preserve">special_alms_house</x:t>
  </x:si>
  <x:si>
    <x:t xml:space="preserve">Alms House</x:t>
  </x:si>
  <x:si>
    <x:t xml:space="preserve">No Soul Goes Unserved</x:t>
  </x:si>
  <x:si>
    <x:t xml:space="preserve">special_atelier_workshop</x:t>
  </x:si>
  <x:si>
    <x:t xml:space="preserve">Atelier Workshop</x:t>
  </x:si>
  <x:si>
    <x:t xml:space="preserve">Reablement for the Vale</x:t>
  </x:si>
  <x:si>
    <x:t xml:space="preserve">Place adjacent to a Wellbeing Tile.</x:t>
  </x:si>
  <x:si>
    <x:t xml:space="preserve">special_brewery_of_legends</x:t>
  </x:si>
  <x:si>
    <x:t xml:space="preserve">Brewery of Legends</x:t>
  </x:si>
  <x:si>
    <x:t xml:space="preserve">Spirit-Lifting</x:t>
  </x:si>
  <x:si>
    <x:t xml:space="preserve">special_docks</x:t>
  </x:si>
  <x:si>
    <x:t xml:space="preserve">Docks</x:t>
  </x:si>
  <x:si>
    <x:t xml:space="preserve">Remnants of the Fleet</x:t>
  </x:si>
  <x:si>
    <x:t xml:space="preserve">special_hearth_garden</x:t>
  </x:si>
  <x:si>
    <x:t xml:space="preserve">Hearth Garden</x:t>
  </x:si>
  <x:si>
    <x:t xml:space="preserve">Hearthbound Circle</x:t>
  </x:si>
  <x:si>
    <x:t xml:space="preserve">special_house_of_learning</x:t>
  </x:si>
  <x:si>
    <x:t xml:space="preserve">House of Learning</x:t>
  </x:si>
  <x:si>
    <x:t xml:space="preserve">Strong Foundations</x:t>
  </x:si>
  <x:si>
    <x:t xml:space="preserve">special_labourers_yard</x:t>
  </x:si>
  <x:si>
    <x:t xml:space="preserve">Labourers’ Yard</x:t>
  </x:si>
  <x:si>
    <x:t xml:space="preserve">Hands for Heavy Work</x:t>
  </x:si>
  <x:si>
    <x:t xml:space="preserve">special_lantern_roadhouse</x:t>
  </x:si>
  <x:si>
    <x:t xml:space="preserve">Lantern Roadhouse</x:t>
  </x:si>
  <x:si>
    <x:t xml:space="preserve">Lanterns for Roads</x:t>
  </x:si>
  <x:si>
    <x:t xml:space="preserve">special_reliquary</x:t>
  </x:si>
  <x:si>
    <x:t xml:space="preserve">Reliquary</x:t>
  </x:si>
  <x:si>
    <x:t xml:space="preserve">Repurpose Tools</x:t>
  </x:si>
  <x:si>
    <x:t xml:space="preserve">Place adjacent to a Merchant Tile.</x:t>
  </x:si>
  <x:si>
    <x:t xml:space="preserve">special_shrine_of_ancestors</x:t>
  </x:si>
  <x:si>
    <x:t xml:space="preserve">Shrine of Ancestors</x:t>
  </x:si>
  <x:si>
    <x:t xml:space="preserve">Before the Last Age</x:t>
  </x:si>
  <x:si>
    <x:t xml:space="preserve">special_shrine_of_ancients</x:t>
  </x:si>
  <x:si>
    <x:t xml:space="preserve">Shrine of Ancients</x:t>
  </x:si>
  <x:si>
    <x:t xml:space="preserve">The Dryads</x:t>
  </x:si>
  <x:si>
    <x:t xml:space="preserve">Place adjacent to a Gathering Outpost / Gathering Lodge.</x:t>
  </x:si>
  <x:si>
    <x:t xml:space="preserve">special_shrine_of_bounty</x:t>
  </x:si>
  <x:si>
    <x:t xml:space="preserve">Shrine of Bounty</x:t>
  </x:si>
  <x:si>
    <x:t xml:space="preserve">Blessed Harvest</x:t>
  </x:si>
  <x:si>
    <x:t xml:space="preserve">Place adjacent to a Farmstead / Artisan Farm.</x:t>
  </x:si>
  <x:si>
    <x:t xml:space="preserve">special_shrine_of_depths</x:t>
  </x:si>
  <x:si>
    <x:t xml:space="preserve">Shrine of Depths</x:t>
  </x:si>
  <x:si>
    <x:t xml:space="preserve">Moving Mountains</x:t>
  </x:si>
  <x:si>
    <x:t xml:space="preserve">Place adjacent to a Mine Tunnel / Mine Shaft tile.</x:t>
  </x:si>
  <x:si>
    <x:t xml:space="preserve">special_shrine_of_renewal</x:t>
  </x:si>
  <x:si>
    <x:t xml:space="preserve">Shrine of Renewal</x:t>
  </x:si>
  <x:si>
    <x:t xml:space="preserve">Acorns &amp; Oak Trees</x:t>
  </x:si>
  <x:si>
    <x:t xml:space="preserve">Place adjacent to a Lumber Yard / Sustainable Lumber Yard.</x:t>
  </x:si>
  <x:si>
    <x:t xml:space="preserve">special_stables</x:t>
  </x:si>
  <x:si>
    <x:t xml:space="preserve">Stables</x:t>
  </x:si>
  <x:si>
    <x:t xml:space="preserve">1 x 2</x:t>
  </x:si>
  <x:si>
    <x:t xml:space="preserve">Remnants of the Cavalry</x:t>
  </x:si>
  <x:si>
    <x:t xml:space="preserve">Unlocks Two Copies</x:t>
  </x:si>
  <x:si>
    <x:t xml:space="preserve">special_the_iron_roots_respite</x:t>
  </x:si>
  <x:si>
    <x:t xml:space="preserve">The Iron Roots Respite</x:t>
  </x:si>
  <x:si>
    <x:t xml:space="preserve">Songs of War to Ore</x:t>
  </x:si>
  <x:si>
    <x:t xml:space="preserve">special_the_lorekeepers_respite</x:t>
  </x:si>
  <x:si>
    <x:t xml:space="preserve">The Lorekeepers' Respite</x:t>
  </x:si>
  <x:si>
    <x:t xml:space="preserve">Dark Decay to Light</x:t>
  </x:si>
  <x:si>
    <x:t xml:space="preserve">special_the_reavers_respite</x:t>
  </x:si>
  <x:si>
    <x:t xml:space="preserve">The Reavers' Respite</x:t>
  </x:si>
  <x:si>
    <x:t xml:space="preserve">Plunderer to Lumber</x:t>
  </x:si>
  <x:si>
    <x:t xml:space="preserve">special_the_resting_hall</x:t>
  </x:si>
  <x:si>
    <x:t xml:space="preserve">The Resting Hall</x:t>
  </x:si>
  <x:si>
    <x:t xml:space="preserve">Burden-Bearers</x:t>
  </x:si>
  <x:si>
    <x:t xml:space="preserve">Place adjacent to a Housing Tile or Wellbeing Tile.</x:t>
  </x:si>
  <x:si>
    <x:t xml:space="preserve">special_the_root_weavers_respite</x:t>
  </x:si>
  <x:si>
    <x:t xml:space="preserve">The Root Weavers Respite</x:t>
  </x:si>
  <x:si>
    <x:t xml:space="preserve">Blade to Herb</x:t>
  </x:si>
  <x:si>
    <x:t xml:space="preserve">special_the_tamers_respite</x:t>
  </x:si>
  <x:si>
    <x:t xml:space="preserve">The Tamers' Respite</x:t>
  </x:si>
  <x:si>
    <x:t xml:space="preserve">Battle to Cattle</x:t>
  </x:si>
  <x:si>
    <x:t xml:space="preserve">special_the_waystation</x:t>
  </x:si>
  <x:si>
    <x:t xml:space="preserve">The Waystation</x:t>
  </x:si>
  <x:si>
    <x:t xml:space="preserve">News Travels Faster</x:t>
  </x:si>
  <x:si>
    <x:t xml:space="preserve">special_theater</x:t>
  </x:si>
  <x:si>
    <x:t xml:space="preserve">Theatre</x:t>
  </x:si>
  <x:si>
    <x:t xml:space="preserve">Lest We Forget</x:t>
  </x:si>
  <x:si>
    <x:t xml:space="preserve">Boons — Encounter Cards</x:t>
  </x:si>
  <x:si>
    <x:t xml:space="preserve">Season I / II / III rows follow the current card model.</x:t>
  </x:si>
  <x:si>
    <x:t xml:space="preserve">Card ID</x:t>
  </x:si>
  <x:si>
    <x:t xml:space="preserve">Card name</x:t>
  </x:si>
  <x:si>
    <x:t xml:space="preserve">Flavour text</x:t>
  </x:si>
  <x:si>
    <x:t xml:space="preserve">Season I</x:t>
  </x:si>
  <x:si>
    <x:t xml:space="preserve">Season I lifecycle / resolution</x:t>
  </x:si>
  <x:si>
    <x:t xml:space="preserve">Season II</x:t>
  </x:si>
  <x:si>
    <x:t xml:space="preserve">Season II lifecycle / resolution</x:t>
  </x:si>
  <x:si>
    <x:t xml:space="preserve">Season III</x:t>
  </x:si>
  <x:si>
    <x:t xml:space="preserve">Season III lifecycle / resolution</x:t>
  </x:si>
  <x:si>
    <x:t xml:space="preserve">Affected tiles</x:t>
  </x:si>
  <x:si>
    <x:t xml:space="preserve">boon_a_light_on_the_long_dark_lanterns_illuminated_the_way_to_a_safer_day</x:t>
  </x:si>
  <x:si>
    <x:t xml:space="preserve">Lanterns in the Dark</x:t>
  </x:si>
  <x:si>
    <x:t xml:space="preserve">Lanterns were hung along roads and crossings fighting back the dark. Fewer feet slipped, fewer travellers lost heart, and confidence grew in the night.</x:t>
  </x:si>
  <x:si>
    <x:t xml:space="preserve">placed tile / Travel Tile / Housing Tile</x:t>
  </x:si>
  <x:si>
    <x:t xml:space="preserve">boon_a_little_more_time</x:t>
  </x:si>
  <x:si>
    <x:t xml:space="preserve">A Little Time</x:t>
  </x:si>
  <x:si>
    <x:t xml:space="preserve">active Arrival</x:t>
  </x:si>
  <x:si>
    <x:t xml:space="preserve">boon_a_welcome_well_met</x:t>
  </x:si>
  <x:si>
    <x:t xml:space="preserve">Welcome Well Met</x:t>
  </x:si>
  <x:si>
    <x:t xml:space="preserve">Arrival</x:t>
  </x:si>
  <x:si>
    <x:t xml:space="preserve">boon_a_wonderful_find</x:t>
  </x:si>
  <x:si>
    <x:t xml:space="preserve">The Wonderful Find</x:t>
  </x:si>
  <x:si>
    <x:t xml:space="preserve">boon_bounty_of_the_first_harvest</x:t>
  </x:si>
  <x:si>
    <x:t xml:space="preserve">First Harvest Bounty</x:t>
  </x:si>
  <x:si>
    <x:t xml:space="preserve">Farmstead / Artisan Farm</x:t>
  </x:si>
  <x:si>
    <x:t xml:space="preserve">boon_carts_before_sunrise</x:t>
  </x:si>
  <x:si>
    <x:t xml:space="preserve">Carts Before Sunrise</x:t>
  </x:si>
  <x:si>
    <x:t xml:space="preserve">By sunrise, carts had already rolled between storehouse, stall, and workshop a half dozen times. Nothing grand was announced, yet the day’s work had begun before anyone thought to ask.</x:t>
  </x:si>
  <x:si>
    <x:t xml:space="preserve">Resource Tile / Crafting Tile / Merchant Tile / Travel Tile / Passive</x:t>
  </x:si>
  <x:si>
    <x:t xml:space="preserve">boon_clear_nights_make_for_clear_plans</x:t>
  </x:si>
  <x:si>
    <x:t xml:space="preserve">Clear Nights and Plans</x:t>
  </x:si>
  <x:si>
    <x:t xml:space="preserve">Encounter Deck</x:t>
  </x:si>
  <x:si>
    <x:t xml:space="preserve">boon_craft_fair</x:t>
  </x:si>
  <x:si>
    <x:t xml:space="preserve">Crafting Fair</x:t>
  </x:si>
  <x:si>
    <x:t xml:space="preserve">Crafting Tile / Housing Tile / Merchant Tile / adjacent tile</x:t>
  </x:si>
  <x:si>
    <x:t xml:space="preserve">boon_festival_of_trade</x:t>
  </x:si>
  <x:si>
    <x:t xml:space="preserve">Trade Festival</x:t>
  </x:si>
  <x:si>
    <x:t xml:space="preserve">Merchant Tile / adjacent tile categories / Housing Tile / Warehouse</x:t>
  </x:si>
  <x:si>
    <x:t xml:space="preserve">boon_feuds_soften_as_warm_hearths_green_heaths_and_safe_havens_are_found</x:t>
  </x:si>
  <x:si>
    <x:t xml:space="preserve">Hearths Soften Feuds</x:t>
  </x:si>
  <x:si>
    <x:t xml:space="preserve">Housing Tile</x:t>
  </x:si>
  <x:si>
    <x:t xml:space="preserve">boon_from_the_brink</x:t>
  </x:si>
  <x:si>
    <x:t xml:space="preserve">From the Brink</x:t>
  </x:si>
  <x:si>
    <x:t xml:space="preserve">Overstrained tile / placed tile</x:t>
  </x:si>
  <x:si>
    <x:t xml:space="preserve">boon_ledgers_flow</x:t>
  </x:si>
  <x:si>
    <x:t xml:space="preserve">Ledgers Flow</x:t>
  </x:si>
  <x:si>
    <x:t xml:space="preserve">Once the paths were known, ledgers, tools, and goods began to move before anyone had to ask. What was needed was provided.</x:t>
  </x:si>
  <x:si>
    <x:t xml:space="preserve">Resource Tile / Merchant Tile / Crafting Tile</x:t>
  </x:si>
  <x:si>
    <x:t xml:space="preserve">boon_many_hands_make_light_work</x:t>
  </x:si>
  <x:si>
    <x:t xml:space="preserve">Many Hands, Light Work</x:t>
  </x:si>
  <x:si>
    <x:t xml:space="preserve">Stones moved today that would have broken a single back. Beams rose, meals were passed along, and each task became lighter as hands joined it. Cooperation lifted more than timber.</x:t>
  </x:si>
  <x:si>
    <x:t xml:space="preserve">placed tile / upgraded tile</x:t>
  </x:si>
  <x:si>
    <x:t xml:space="preserve">boon_old_foundations_still_remain</x:t>
  </x:si>
  <x:si>
    <x:t xml:space="preserve">Old Foundations</x:t>
  </x:si>
  <x:si>
    <x:t xml:space="preserve">Housing Tile / Ruins terrain / adjacent placed tile</x:t>
  </x:si>
  <x:si>
    <x:t xml:space="preserve">boon_one_thousand_swings_of_the_pickaxe_opens_up_a_new_path</x:t>
  </x:si>
  <x:si>
    <x:t xml:space="preserve">Pickaxe Reveals Passage</x:t>
  </x:si>
  <x:si>
    <x:t xml:space="preserve">Mine Tunnel / Mine Shaft</x:t>
  </x:si>
  <x:si>
    <x:t xml:space="preserve">boon_raised_in_good_season</x:t>
  </x:si>
  <x:si>
    <x:t xml:space="preserve">Raised in Season</x:t>
  </x:si>
  <x:si>
    <x:t xml:space="preserve">The report of swift progress sounded unlikely until the beams were raised, the mortar set, and the ledger proved the work had truly happened.</x:t>
  </x:si>
  <x:si>
    <x:t xml:space="preserve">Core Tile</x:t>
  </x:si>
  <x:si>
    <x:t xml:space="preserve">boon_shared_hands_lighter_loads</x:t>
  </x:si>
  <x:si>
    <x:t xml:space="preserve">Shared Hands</x:t>
  </x:si>
  <x:si>
    <x:t xml:space="preserve">active Burden</x:t>
  </x:si>
  <x:si>
    <x:t xml:space="preserve">boon_shelter_holds</x:t>
  </x:si>
  <x:si>
    <x:t xml:space="preserve">Shelter Holds</x:t>
  </x:si>
  <x:si>
    <x:t xml:space="preserve">Supported tile</x:t>
  </x:si>
  <x:si>
    <x:t xml:space="preserve">boon_stores_made_ready</x:t>
  </x:si>
  <x:si>
    <x:t xml:space="preserve">Stores Ready</x:t>
  </x:si>
  <x:si>
    <x:t xml:space="preserve">Warehouse</x:t>
  </x:si>
  <x:si>
    <x:t xml:space="preserve">boon_the_ancient_ways_gradually_reemerge</x:t>
  </x:si>
  <x:si>
    <x:t xml:space="preserve">Ancient Paths Reopen</x:t>
  </x:si>
  <x:si>
    <x:t xml:space="preserve">Lumber Yard / Sustainable Lumber Yard</x:t>
  </x:si>
  <x:si>
    <x:t xml:space="preserve">boon_the_apprentice_steward</x:t>
  </x:si>
  <x:si>
    <x:t xml:space="preserve">Apprentice Steward</x:t>
  </x:si>
  <x:si>
    <x:t xml:space="preserve">Resource Tile / Housing Tile / any tile</x:t>
  </x:si>
  <x:si>
    <x:t xml:space="preserve">boon_the_rains_that_we_sheltered_from_now_yield_the_bounty_of_nature</x:t>
  </x:si>
  <x:si>
    <x:t xml:space="preserve">Rain Brings Bounty</x:t>
  </x:si>
  <x:si>
    <x:t xml:space="preserve">Gathering Outpost / Gathering Lodge</x:t>
  </x:si>
  <x:si>
    <x:t xml:space="preserve">boon_the_scent_of_herb_and_tonic</x:t>
  </x:si>
  <x:si>
    <x:t xml:space="preserve">Herb &amp; Tonic</x:t>
  </x:si>
  <x:si>
    <x:t xml:space="preserve">placed tile</x:t>
  </x:si>
  <x:si>
    <x:t xml:space="preserve">boon_the_settlement_of_plenty</x:t>
  </x:si>
  <x:si>
    <x:t xml:space="preserve">Settlement of Plenty</x:t>
  </x:si>
  <x:si>
    <x:t xml:space="preserve">connected group / placed tile / Warehouse</x:t>
  </x:si>
  <x:si>
    <x:t xml:space="preserve">boon_what_is_written_in_the_stars_can_finally_be_heeded</x:t>
  </x:si>
  <x:si>
    <x:t xml:space="preserve">Stars Guide Plans</x:t>
  </x:si>
  <x:si>
    <x:t xml:space="preserve">boon_when_the_roads_filled_once_more</x:t>
  </x:si>
  <x:si>
    <x:t xml:space="preserve">Roads Filled Again</x:t>
  </x:si>
  <x:si>
    <x:t xml:space="preserve">Travel Tile</x:t>
  </x:si>
  <x:si>
    <x:t xml:space="preserve">boon_where_help_stands</x:t>
  </x:si>
  <x:si>
    <x:t xml:space="preserve">Help Stands</x:t>
  </x:si>
  <x:si>
    <x:t xml:space="preserve">Steward-occupied tile</x:t>
  </x:si>
  <x:si>
    <x:t xml:space="preserve">Burdens — Encounter Cards</x:t>
  </x:si>
  <x:si>
    <x:t xml:space="preserve">burden_awoken_in_the_deep</x:t>
  </x:si>
  <x:si>
    <x:t xml:space="preserve">Awoken Below</x:t>
  </x:si>
  <x:si>
    <x:t xml:space="preserve">The miners heard something deep within the seam. Whatever hid beneath the earth during the war may still be wounded. Wounded things do not always recognise kindness.</x:t>
  </x:si>
  <x:si>
    <x:t xml:space="preserve">burden_bare_walls</x:t>
  </x:si>
  <x:si>
    <x:t xml:space="preserve">Bare Walls</x:t>
  </x:si>
  <x:si>
    <x:t xml:space="preserve">The houses keep out wind and rain, but little else. Bare timber, cold rooms, and empty shelves make shelter feel unfinished. Settlement comes slowly when homes still look temporary.</x:t>
  </x:si>
  <x:si>
    <x:t xml:space="preserve">Housing Tile / Social Tile / Wellbeing Tile / Warehouse</x:t>
  </x:si>
  <x:si>
    <x:t xml:space="preserve">burden_blighted_lands</x:t>
  </x:si>
  <x:si>
    <x:t xml:space="preserve">Blighted Lands</x:t>
  </x:si>
  <x:si>
    <x:t xml:space="preserve">I marked the first spoiled field at dawn and the second before noon. Farmers say the soil was driven too hard in the years of war. Now it answers every seed with a little less mercy.</x:t>
  </x:si>
  <x:si>
    <x:t xml:space="preserve">burden_coin_before_craft</x:t>
  </x:si>
  <x:si>
    <x:t xml:space="preserve">Coin Before Craft</x:t>
  </x:si>
  <x:si>
    <x:t xml:space="preserve">The markets have grown faster than the workshops can sustain. Good hands set down precious tools to argue over time, price, and fairness. Even after compromise, resentment remains on the bench.</x:t>
  </x:si>
  <x:si>
    <x:t xml:space="preserve">Merchant Tile / Crafting Tile</x:t>
  </x:si>
  <x:si>
    <x:t xml:space="preserve">burden_empty_shelves</x:t>
  </x:si>
  <x:si>
    <x:t xml:space="preserve">Empty Shelves</x:t>
  </x:si>
  <x:si>
    <x:t xml:space="preserve">Social Tile / Housing Tile</x:t>
  </x:si>
  <x:si>
    <x:t xml:space="preserve">burden_forest_s_grudge</x:t>
  </x:si>
  <x:si>
    <x:t xml:space="preserve">Forest’s Grudge</x:t>
  </x:si>
  <x:si>
    <x:t xml:space="preserve">burden_foundations_remember_war</x:t>
  </x:si>
  <x:si>
    <x:t xml:space="preserve">Foundations Remember War</x:t>
  </x:si>
  <x:si>
    <x:t xml:space="preserve">Beneath the new walls, the mason found old iron set for a harder purpose than housing. Rust had split the footing, and with it the confidence that peaceful homes could stand there.</x:t>
  </x:si>
  <x:si>
    <x:t xml:space="preserve">Upgraded Core Tile / adjacent placed tile</x:t>
  </x:si>
  <x:si>
    <x:t xml:space="preserve">burden_ill_omen_of_discontent</x:t>
  </x:si>
  <x:si>
    <x:t xml:space="preserve">Omen of Discontent</x:t>
  </x:si>
  <x:si>
    <x:t xml:space="preserve">The signs were nothing at first: cracked paving, a twisted tree, a rumour carried from a tired doorstep. By dusk, every weary household had given them meaning, and the route lay empty.</x:t>
  </x:si>
  <x:si>
    <x:t xml:space="preserve">Travel Tile / Housing Tile</x:t>
  </x:si>
  <x:si>
    <x:t xml:space="preserve">burden_old_names_old_debts</x:t>
  </x:si>
  <x:si>
    <x:t xml:space="preserve">Old Names, Old Debts</x:t>
  </x:si>
  <x:si>
    <x:t xml:space="preserve">Not every welcome is easily given. The past is not so simple to extinguish, and old loyalties can flare from a single careless name. Some embers remain dangerous long after the fire is gone.</x:t>
  </x:si>
  <x:si>
    <x:t xml:space="preserve">Tile with Renown</x:t>
  </x:si>
  <x:si>
    <x:t xml:space="preserve">burden_old_wounds_reopen</x:t>
  </x:si>
  <x:si>
    <x:t xml:space="preserve">Old Wounds Reopen</x:t>
  </x:si>
  <x:si>
    <x:t xml:space="preserve">Peace does not close every hurt. A song, a sigil, a name spoken too lightly can uncover wounds only just beginning to heal. Afterwards, silence does the damage words began.</x:t>
  </x:si>
  <x:si>
    <x:t xml:space="preserve">Social Tile / Wellbeing Tile</x:t>
  </x:si>
  <x:si>
    <x:t xml:space="preserve">burden_only_road_in</x:t>
  </x:si>
  <x:si>
    <x:t xml:space="preserve">Only Road In</x:t>
  </x:si>
  <x:si>
    <x:t xml:space="preserve">Every cart and errand passed through the same narrow way until they did not. One broken wheel, one flooded rut, and the whole settlement remembered how fragile a single road can be.</x:t>
  </x:si>
  <x:si>
    <x:t xml:space="preserve">Merchant Tile / Crafting Tile / Travel Tile</x:t>
  </x:si>
  <x:si>
    <x:t xml:space="preserve">burden_over_promising_to_over_compensate</x:t>
  </x:si>
  <x:si>
    <x:t xml:space="preserve">Promises Overstretched</x:t>
  </x:si>
  <x:si>
    <x:t xml:space="preserve">Word travels faster than preparation. The settlement’s welcome is now spoken of beyond the hills, but open doors require more than roofs and food. Every promise made must still be carried.</x:t>
  </x:si>
  <x:si>
    <x:t xml:space="preserve">Active Arrivals / placed tile</x:t>
  </x:si>
  <x:si>
    <x:t xml:space="preserve">burden_return_to_the_trenches</x:t>
  </x:si>
  <x:si>
    <x:t xml:space="preserve">Old Trenches Return</x:t>
  </x:si>
  <x:si>
    <x:t xml:space="preserve">No one ordered the ditches dug that way, yet the old shapes returned to the earth. Roads meant to connect us began tracing defensive lines, and the settlement remembered tactics we had tried to bury.</x:t>
  </x:si>
  <x:si>
    <x:t xml:space="preserve">Travel Tile / Resource Tile</x:t>
  </x:si>
  <x:si>
    <x:t xml:space="preserve">burden_roads_carry_needs</x:t>
  </x:si>
  <x:si>
    <x:t xml:space="preserve">Roads Carry Needs</x:t>
  </x:si>
  <x:si>
    <x:t xml:space="preserve">The busiest paths became the hungriest ones, worn down by every errand, repair, and request. A road can serve everyone and still be neglected by all.</x:t>
  </x:si>
  <x:si>
    <x:t xml:space="preserve">burden_roads_too_far_from_home</x:t>
  </x:si>
  <x:si>
    <x:t xml:space="preserve">Roads Too Far</x:t>
  </x:si>
  <x:si>
    <x:t xml:space="preserve">burden_smoke_over_hearths</x:t>
  </x:si>
  <x:si>
    <x:t xml:space="preserve">Smoke over Hearths</x:t>
  </x:si>
  <x:si>
    <x:t xml:space="preserve">The workshops burned day and night, filling nearby homes with sound and smoke. Children coughed behind shuttered windows while neighbours tried to keep out the very labour meant to sustain them.</x:t>
  </x:si>
  <x:si>
    <x:t xml:space="preserve">Housing Tile / Crafting Tile</x:t>
  </x:si>
  <x:si>
    <x:t xml:space="preserve">burden_stampede</x:t>
  </x:si>
  <x:si>
    <x:t xml:space="preserve">Stampede</x:t>
  </x:si>
  <x:si>
    <x:t xml:space="preserve">burden_stores_run_thin</x:t>
  </x:si>
  <x:si>
    <x:t xml:space="preserve">Stores Run Thin</x:t>
  </x:si>
  <x:si>
    <x:t xml:space="preserve">The shelves are full in one corner and bare in another, which may be worse than general scarcity. People see waste beside want, and frustration grows in the space between them.</x:t>
  </x:si>
  <x:si>
    <x:t xml:space="preserve">Warehouse / placed tile</x:t>
  </x:si>
  <x:si>
    <x:t xml:space="preserve">burden_the_burden_of_command</x:t>
  </x:si>
  <x:si>
    <x:t xml:space="preserve">Burden of Command</x:t>
  </x:si>
  <x:si>
    <x:t xml:space="preserve">burden_the_long_cough</x:t>
  </x:si>
  <x:si>
    <x:t xml:space="preserve">The Long Cough</x:t>
  </x:si>
  <x:si>
    <x:t xml:space="preserve">burden_the_quiet_fractures</x:t>
  </x:si>
  <x:si>
    <x:t xml:space="preserve">The Quiet Fractures</x:t>
  </x:si>
  <x:si>
    <x:t xml:space="preserve">The Vale rarely announces that it is breaking. It shows itself in the missed greeting, the empty market, the kindness withheld. Small fractures need tending before they learn to widen.</x:t>
  </x:si>
  <x:si>
    <x:t xml:space="preserve">Strained tile / Overstrained tile</x:t>
  </x:si>
  <x:si>
    <x:t xml:space="preserve">burden_the_rot_within_the_vault</x:t>
  </x:si>
  <x:si>
    <x:t xml:space="preserve">Rot in the Vault</x:t>
  </x:si>
  <x:si>
    <x:t xml:space="preserve">burden_the_storehouses_disagree</x:t>
  </x:si>
  <x:si>
    <x:t xml:space="preserve">Storehouses Disagree</x:t>
  </x:si>
  <x:si>
    <x:t xml:space="preserve">Ledgers that once seemed clear no longer agree. Barrels are marked twice, crates move without notation, and every keeper swears their count is true. Numbers can quarrel like neighbours.</x:t>
  </x:si>
  <x:si>
    <x:t xml:space="preserve">Resource Tile / Warehouse</x:t>
  </x:si>
  <x:si>
    <x:t xml:space="preserve">burden_the_welcome_wears_thin</x:t>
  </x:si>
  <x:si>
    <x:t xml:space="preserve">Welcome Wears Thin</x:t>
  </x:si>
  <x:si>
    <x:t xml:space="preserve">Kind words fade when action can no longer follow. Provisions are scarce, and hands now pause at once-welcoming doors. Shame gathers on both sides of the threshold.</x:t>
  </x:si>
  <x:si>
    <x:t xml:space="preserve">Active Arrival / placed tile</x:t>
  </x:si>
  <x:si>
    <x:t xml:space="preserve">burden_too_many_houses_too_little_homes</x:t>
  </x:si>
  <x:si>
    <x:t xml:space="preserve">Houses, Not Homes</x:t>
  </x:si>
  <x:si>
    <x:t xml:space="preserve">New houses rise quickly, but walls alone are not enough. I counted roofs fit for shelter, yet too few warm meals, blankets, and outstretched hands to make those roofs feel like home.</x:t>
  </x:si>
  <x:si>
    <x:t xml:space="preserve">burden_tools_left_to_rust</x:t>
  </x:si>
  <x:si>
    <x:t xml:space="preserve">Tools Left to Rust</x:t>
  </x:si>
  <x:si>
    <x:t xml:space="preserve">A tool unused becomes another thing to mend. Good blades dull orange, handles split, and hinges stiffen with neglect. Waste is quieter than theft, but it robs the settlement all the same.</x:t>
  </x:si>
  <x:si>
    <x:t xml:space="preserve">Crafting Tile / Merchant Tile</x:t>
  </x:si>
  <x:si>
    <x:t xml:space="preserve">burden_wares_of_war</x:t>
  </x:si>
  <x:si>
    <x:t xml:space="preserve">Wares of War</x:t>
  </x:si>
  <x:si>
    <x:t xml:space="preserve">Merchants still trade from the old war stores: dented shields, boiled leather, hole-ridden breastplates, and blades worn too thin by use. After each bargain, silence lingers over the table.</x:t>
  </x:si>
  <x:si>
    <x:t xml:space="preserve">Housing Tile / Merchant Tile</x:t>
  </x:si>
  <x:si>
    <x:t xml:space="preserve">Arrivals — Encounter Cards</x:t>
  </x:si>
  <x:si>
    <x:t xml:space="preserve">Arrivals use Requirement and Reward only. Timers are handled by rules/prototype state. Each Arrival still incomplete at game end costs 5 Renown.</x:t>
  </x:si>
  <x:si>
    <x:t xml:space="preserve">Requirement</x:t>
  </x:si>
  <x:si>
    <x:t xml:space="preserve">Reward</x:t>
  </x:si>
  <x:si>
    <x:t xml:space="preserve">arrival_acorns_and_oak_trees</x:t>
  </x:si>
  <x:si>
    <x:t xml:space="preserve">Pay 2 Herbs, 2 Stone, and 2 Goods.</x:t>
  </x:si>
  <x:si>
    <x:t xml:space="preserve">Unlock Shrine of Renewal.</x:t>
  </x:si>
  <x:si>
    <x:t xml:space="preserve">arrival_blessed_harvest</x:t>
  </x:si>
  <x:si>
    <x:t xml:space="preserve">The caretakers buried offerings beneath the first seeds and left a share of every harvest for wandering spirits and hungry birds. Whether by blessing, patience, or simply better care, their fields rarely failed.</x:t>
  </x:si>
  <x:si>
    <x:t xml:space="preserve">Pay 2 Food and 4 Stone.</x:t>
  </x:si>
  <x:si>
    <x:t xml:space="preserve">Unlock Shrine of Bounty.</x:t>
  </x:si>
  <x:si>
    <x:t xml:space="preserve">arrival_from_battle_to_cattle</x:t>
  </x:si>
  <x:si>
    <x:t xml:space="preserve">The beast-handler had once kept war mounts and worse. Now his evenings are spent tending lame oxen and brushing ageing draft horses. As I recorded the need for more feed, pasture, and fences, I felt the Vale changing for the better.</x:t>
  </x:si>
  <x:si>
    <x:t xml:space="preserve">Pay 2 Wood, 2 Metal, and 2 Food.</x:t>
  </x:si>
  <x:si>
    <x:t xml:space="preserve">Unlock The Tamers’ Respite.</x:t>
  </x:si>
  <x:si>
    <x:t xml:space="preserve">arrival_from_blade_swingers_to_herb_stringers</x:t>
  </x:si>
  <x:si>
    <x:t xml:space="preserve">Unlock The Root Weavers Respite.</x:t>
  </x:si>
  <x:si>
    <x:t xml:space="preserve">arrival_from_dark_decay_to_light_display</x:t>
  </x:si>
  <x:si>
    <x:t xml:space="preserve">The lorekeepers carried rescued pages in oilcloth, each bundle treated like a patient not yet safe. They asked for shelves, glass lamps, and dryness above all. Their urgency proved well founded.</x:t>
  </x:si>
  <x:si>
    <x:t xml:space="preserve">Pay 2 Wood, 2 Stone, and 2 Food.</x:t>
  </x:si>
  <x:si>
    <x:t xml:space="preserve">Unlock The Lorekeepers’ Respite.</x:t>
  </x:si>
  <x:si>
    <x:t xml:space="preserve">arrival_from_plunderer_to_lumber</x:t>
  </x:si>
  <x:si>
    <x:t xml:space="preserve">They laid their axes on the table before speaking, sharp edges wrapped in cloth. Once, such tools broke doors and threatened homes. Now their owners asked where beams were needed. The first useful swing sounded different.</x:t>
  </x:si>
  <x:si>
    <x:t xml:space="preserve">Unlock The Reavers’ Respite.</x:t>
  </x:si>
  <x:si>
    <x:t xml:space="preserve">arrival_from_songs_of_war_to_the_search_for_ore</x:t>
  </x:si>
  <x:si>
    <x:t xml:space="preserve">Their marching songs reached us before they did, though the words had changed. Underground, they said, a steady voice can soothe the mountain and steady the hand. I recorded the saying, then heard the tunnels answer.</x:t>
  </x:si>
  <x:si>
    <x:t xml:space="preserve">Unlock The Iron Roots Respite.</x:t>
  </x:si>
  <x:si>
    <x:t xml:space="preserve">arrival_hands_for_heavy_work</x:t>
  </x:si>
  <x:si>
    <x:t xml:space="preserve">They arrived in a crowded wagon: strong backs, calloused hands, and a need to be useful. They asked for modest meals, safe shelter, and work that builds rather than breaks. By dusk, walls were rising twice as fast.</x:t>
  </x:si>
  <x:si>
    <x:t xml:space="preserve">Pay 2 Food, 2 Stone, and 2 Goods.</x:t>
  </x:si>
  <x:si>
    <x:t xml:space="preserve">Unlock Labourers’ Yard.</x:t>
  </x:si>
  <x:si>
    <x:t xml:space="preserve">arrival_lanterns_for_the_long_roads</x:t>
  </x:si>
  <x:si>
    <x:t xml:space="preserve">They came at dusk with oil, mirrors, hooks, and a stubborn belief that roads should not surrender after sunset. I saw the first lamp lit beyond the nearest homes, then the second, then the third fading into distance.</x:t>
  </x:si>
  <x:si>
    <x:t xml:space="preserve">Pay 2 Wood, 2 Metal, and 2 Goods.</x:t>
  </x:si>
  <x:si>
    <x:t xml:space="preserve">Unlock Lantern Roadhouse.</x:t>
  </x:si>
  <x:si>
    <x:t xml:space="preserve">arrival_lay_down_the_tools_of_destruction</x:t>
  </x:si>
  <x:si>
    <x:t xml:space="preserve">Old armour was surrendered piece by piece: helms for lantern casings, blades for ploughshares, buckles for harness. The veterans overseeing the work said little. The damage on the metal had already spoken enough.</x:t>
  </x:si>
  <x:si>
    <x:t xml:space="preserve">Pay 4 Metal and 2 Goods.</x:t>
  </x:si>
  <x:si>
    <x:t xml:space="preserve">Unlock Reliquary.</x:t>
  </x:si>
  <x:si>
    <x:t xml:space="preserve">arrival_lest_we_forget</x:t>
  </x:si>
  <x:si>
    <x:t xml:space="preserve">They arrived in painted wagons, asking for a place where old names could be spoken without glorifying the wars that took them. By dusk, wood, ribbons, and young hands had gathered. Remembrance began before anyone dared call it theatre.</x:t>
  </x:si>
  <x:si>
    <x:t xml:space="preserve">Pay 4 Wood and 4 Metal.</x:t>
  </x:si>
  <x:si>
    <x:t xml:space="preserve">Unlock Theatre.</x:t>
  </x:si>
  <x:si>
    <x:t xml:space="preserve">arrival_moving_mountains</x:t>
  </x:si>
  <x:si>
    <x:t xml:space="preserve">The miners arrived with faces marked by dust, sweat, and the scrape of stone. They spoke of the deep earth with reverence rather than greed. Their advice was simple: disasters begin when folk stop listening to the mountain.</x:t>
  </x:si>
  <x:si>
    <x:t xml:space="preserve">Unlock Shrine of Depths.</x:t>
  </x:si>
  <x:si>
    <x:t xml:space="preserve">arrival_news_travels_faster_than_goods</x:t>
  </x:si>
  <x:si>
    <x:t xml:space="preserve">The messenger arrived ahead of the wagons, carrying names, rumours, warnings, and hope in equal measure. They believed knowledge might be the first true bridge rebuilt. I copied the news they brought with particular care.</x:t>
  </x:si>
  <x:si>
    <x:t xml:space="preserve">Pay 2 Food and 4 Goods.</x:t>
  </x:si>
  <x:si>
    <x:t xml:space="preserve">Unlock The Waystation.</x:t>
  </x:si>
  <x:si>
    <x:t xml:space="preserve">arrival_no_soul_shall_go_without</x:t>
  </x:si>
  <x:si>
    <x:t xml:space="preserve">Pay 2 Goods and 2 Herbs.</x:t>
  </x:si>
  <x:si>
    <x:t xml:space="preserve">Unlock Alms House.</x:t>
  </x:si>
  <x:si>
    <x:t xml:space="preserve">arrival_reablement_for_the_realm</x:t>
  </x:si>
  <x:si>
    <x:t xml:space="preserve">Unlock Atelier Workshop.</x:t>
  </x:si>
  <x:si>
    <x:t xml:space="preserve">arrival_remnants_of_the_cavalry</x:t>
  </x:si>
  <x:si>
    <x:t xml:space="preserve">They rode in slowly, cloaks heavy with rain and years alike. Their horses were older, but immaculately kept. I marked their arrival with a note: find pasture, fresh water, and a reason for these riders to stay.</x:t>
  </x:si>
  <x:si>
    <x:t xml:space="preserve">Pay 2 Wood, 4 Herbs, and 2 Goods.</x:t>
  </x:si>
  <x:si>
    <x:t xml:space="preserve">Unlock 2 Stables.</x:t>
  </x:si>
  <x:si>
    <x:t xml:space="preserve">arrival_remnants_of_the_fleet</x:t>
  </x:si>
  <x:si>
    <x:t xml:space="preserve">Unlock Docks.</x:t>
  </x:si>
  <x:si>
    <x:t xml:space="preserve">arrival_spirit_lifting_spirit</x:t>
  </x:si>
  <x:si>
    <x:t xml:space="preserve">Unlock Brewery of Legends.</x:t>
  </x:si>
  <x:si>
    <x:t xml:space="preserve">arrival_strong_foundations</x:t>
  </x:si>
  <x:si>
    <x:t xml:space="preserve">The teachers brought slates, timber rules, worn books, and minds sharper than any blade. I marked their arrival as the day careful learning became available to all who now call the Quiet Vale home.</x:t>
  </x:si>
  <x:si>
    <x:t xml:space="preserve">Unlock House of Learning.</x:t>
  </x:si>
  <x:si>
    <x:t xml:space="preserve">arrival_the_burden_bearers</x:t>
  </x:si>
  <x:si>
    <x:t xml:space="preserve">The burden-bearers of the last years asked for a space where grief and exhaustion could be set down. I recorded the request exactly. Even the naming of it seemed to steady the room.</x:t>
  </x:si>
  <x:si>
    <x:t xml:space="preserve">Unlock The Resting Hall.</x:t>
  </x:si>
  <x:si>
    <x:t xml:space="preserve">arrival_the_dryads</x:t>
  </x:si>
  <x:si>
    <x:t xml:space="preserve">They came with seeds wrapped in green thread and bark carvings reminiscent of relics. Their soft words seemed to sink into roots older than any kingdom. Where they walked, the wildlands grew calmer.</x:t>
  </x:si>
  <x:si>
    <x:t xml:space="preserve">Unlock Shrine of Ancients.</x:t>
  </x:si>
  <x:si>
    <x:t xml:space="preserve">arrival_the_hearthbound_circle</x:t>
  </x:si>
  <x:si>
    <x:t xml:space="preserve">Pay 4 Herbs and 4 Food.</x:t>
  </x:si>
  <x:si>
    <x:t xml:space="preserve">Unlock Hearth Garden.</x:t>
  </x:si>
  <x:si>
    <x:t xml:space="preserve">arrival_the_quiet_quest</x:t>
  </x:si>
  <x:si>
    <x:t xml:space="preserve">The adventurers were nothing like tavern stories. Their armour was mismatched, functional, and often repaired. Their first question was which roads ended in unanswered questions. I recorded them as a small company of useful trouble.</x:t>
  </x:si>
  <x:si>
    <x:t xml:space="preserve">Pay 4 Goods and 2 Herbs.</x:t>
  </x:si>
  <x:si>
    <x:t xml:space="preserve">Unlock Adventurers’ Guild.</x:t>
  </x:si>
  <x:si>
    <x:t xml:space="preserve">arrival_the_transmutation_traveler</x:t>
  </x:si>
  <x:si>
    <x:t xml:space="preserve">Pay 2 Herbs and 2 Goods.</x:t>
  </x:si>
  <x:si>
    <x:t xml:space="preserve">Unlock Alchemist’s Workshop.</x:t>
  </x:si>
  <x:si>
    <x:t xml:space="preserve">arrival_what_came_before_the_last_age</x:t>
  </x:si>
  <x:si>
    <x:t xml:space="preserve">Pay 2 Stone, 2 Metal, and 2 Goods.</x:t>
  </x:si>
  <x:si>
    <x:t xml:space="preserve">Unlock Shrine of Ancestors.</x:t>
  </x:si>
  <x:si>
    <x:t xml:space="preserve">Golden Boons — Achievement Unlock Reference</x:t>
  </x:si>
  <x:si>
    <x:t xml:space="preserve">Golden Boons are retained as component data and unlock through Stewards Ledger achievement thresholds. They are not currently supported by the online prototype.</x:t>
  </x:si>
  <x:si>
    <x:t xml:space="preserve">Effect</x:t>
  </x:si>
  <x:si>
    <x:t xml:space="preserve">Lifecycle</x:t>
  </x:si>
  <x:si>
    <x:t xml:space="preserve">Current status</x:t>
  </x:si>
  <x:si>
    <x:t xml:space="preserve">golden_boon_the_golden_bell</x:t>
  </x:si>
  <x:si>
    <x:t xml:space="preserve">The Golden Bell</x:t>
  </x:si>
  <x:si>
    <x:t xml:space="preserve">We found the bell beneath root and rubble, warm beneath the hand despite its long burial. When it rang across the Vale, even abandoned roads seemed to listen. Days later, strangers arrived by ways we thought forgotten.</x:t>
  </x:si>
  <x:si>
    <x:t xml:space="preserve">golden_boon_the_golden_scroll</x:t>
  </x:si>
  <x:si>
    <x:t xml:space="preserve">The Golden Scroll</x:t>
  </x:si>
  <x:si>
    <x:t xml:space="preserve">The scroll arrived sealed in gold thread. Its ink shifted between readings: maps into letters, warnings into opportunities, forgotten names into doors. I recorded it as possibility, not prophecy.</x:t>
  </x:si>
  <x:si>
    <x:t xml:space="preserve">golden_boon_the_golden_vial</x:t>
  </x:si>
  <x:si>
    <x:t xml:space="preserve">The Golden Vial</x:t>
  </x:si>
  <x:si>
    <x:t xml:space="preserve">The vial lay sealed in golden wax within the hollow roots of a dead pale tree. Its liquid caught the light like dawn held still. Those who carried it found storms softening, paths opening, and distance less certain of itself.</x:t>
  </x:si>
  <x:si>
    <x:t xml:space="preserve">golden_boon_the_golden_eyed_traveler</x:t>
  </x:si>
  <x:si>
    <x:t xml:space="preserve">The Golden-Eyed Traveller</x:t>
  </x:si>
  <x:si>
    <x:t xml:space="preserve">The traveller appeared after dusk, dry-cloaked despite the rain, and asked only for a place by the fire. Through the night, a melody moved through the sleeping settlement. By morning, the season’s weariness had loosened its grip.</x:t>
  </x:si>
  <x:si>
    <x:t xml:space="preserve">golden_boon_the_golden_signet_ring</x:t>
  </x:si>
  <x:si>
    <x:t xml:space="preserve">The Golden Signet Ring</x:t>
  </x:si>
  <x:si>
    <x:t xml:space="preserve">The ring came from a collapsed cairn beneath the mines, its gold untouched by age. When raised, it seemed to remind roads, walls, and foundations of older orders. For a moment, the settlement obeyed memory.</x:t>
  </x:si>
  <x:si>
    <x:t xml:space="preserve">Golden Tiles — Component Data</x:t>
  </x:si>
  <x:si>
    <x:t xml:space="preserve">Golden Tiles are not part of normal setup. A Golden Tile enters play only if unlocked by a Stewards Ledger achievement threshold and selected for the game. Unless that unlock or effect says otherwise, placing a Golden Tile costs 1 Place action and 0 resources.</x:t>
  </x:si>
  <x:si>
    <x:t xml:space="preserve">Tile Name</x:t>
  </x:si>
  <x:si>
    <x:t xml:space="preserve">Setup Placement / Placement Rules</x:t>
  </x:si>
  <x:si>
    <x:t xml:space="preserve">Effect / Benefit</x:t>
  </x:si>
  <x:si>
    <x:t xml:space="preserve">Scoring Condition</x:t>
  </x:si>
  <x:si>
    <x:t xml:space="preserve">Layout Incentive</x:t>
  </x:si>
  <x:si>
    <x:t xml:space="preserve">Balance Note</x:t>
  </x:si>
  <x:si>
    <x:t xml:space="preserve">Linked Golden Boon / Achievement Unlock</x:t>
  </x:si>
  <x:si>
    <x:t xml:space="preserve">GT-01</x:t>
  </x:si>
  <x:si>
    <x:t xml:space="preserve">The Golden Charter</x:t>
  </x:si>
  <x:si>
    <x:t xml:space="preserve">Golden</x:t>
  </x:si>
  <x:si>
    <x:t xml:space="preserve">Golden Tile</x:t>
  </x:si>
  <x:si>
    <x:t xml:space="preserve">Place on any empty non-River hex.</x:t>
  </x:si>
  <x:si>
    <x:t xml:space="preserve">Once per round, the first tile placed adjacent to this tile costs 1 fewer resource.</x:t>
  </x:si>
  <x:si>
    <x:t xml:space="preserve">+5 Renown if this tile is adjacent to at least four different tile categories.</x:t>
  </x:si>
  <x:si>
    <x:t xml:space="preserve">Mixed civic district.</x:t>
  </x:si>
  <x:si>
    <x:t xml:space="preserve">General but spatially constrained.</x:t>
  </x:si>
  <x:si>
    <x:t xml:space="preserve">GT-02</x:t>
  </x:si>
  <x:si>
    <x:t xml:space="preserve">The Golden Hearth</x:t>
  </x:si>
  <x:si>
    <x:t xml:space="preserve">Place on Grasslands, Woodland, or Arable Land. Not adjacent to River/Water.</x:t>
  </x:si>
  <x:si>
    <x:t xml:space="preserve">Adjacent Housing Tiles have Passive: Supported.</x:t>
  </x:si>
  <x:si>
    <x:t xml:space="preserve">+5 Renown if this tile is surrounded by six non-Overstrained placed tiles.</x:t>
  </x:si>
  <x:si>
    <x:t xml:space="preserve">Central ring or dense village core.</x:t>
  </x:si>
  <x:si>
    <x:t xml:space="preserve">Strong local support but requires deliberate clustering.</x:t>
  </x:si>
  <x:si>
    <x:t xml:space="preserve">GT-03</x:t>
  </x:si>
  <x:si>
    <x:t xml:space="preserve">The Golden River Gate</x:t>
  </x:si>
  <x:si>
    <x:t xml:space="preserve">Place on a non-River hex adjacent to River/Water.</x:t>
  </x:si>
  <x:si>
    <x:t xml:space="preserve">Once per round, the first tile placed adjacent to River/Water costs 1 fewer resource.</x:t>
  </x:si>
  <x:si>
    <x:t xml:space="preserve">+5 Renown if the settlement has non-Overstrained placed tiles on both sides of the river connected by a Bridge or Stone Bridge.</x:t>
  </x:si>
  <x:si>
    <x:t xml:space="preserve">Riverbank planning and bridge route.</x:t>
  </x:si>
  <x:si>
    <x:t xml:space="preserve">Supports river play without replacing Bridge rules.</x:t>
  </x:si>
  <x:si>
    <x:t xml:space="preserve">GT-04</x:t>
  </x:si>
  <x:si>
    <x:t xml:space="preserve">The Golden Cairn</x:t>
  </x:si>
  <x:si>
    <x:t xml:space="preserve">Place on Mountains, Heaths, Woodland, Arable Land, or Ruins. Not Grasslands or River/Water.</x:t>
  </x:si>
  <x:si>
    <x:t xml:space="preserve">Once per round, the first tile placed on non-Grasslands terrain costs 1 fewer resource.</x:t>
  </x:si>
  <x:si>
    <x:t xml:space="preserve">+5 Renown if the settlement has non-Overstrained placed tiles on at least four terrain types other than River/Water.</x:t>
  </x:si>
  <x:si>
    <x:t xml:space="preserve">Terrain spread and remote development.</x:t>
  </x:si>
  <x:si>
    <x:t xml:space="preserve">Rewards leaving easy Grasslands space.</x:t>
  </x:si>
  <x:si>
    <x:t xml:space="preserve">GT-05</x:t>
  </x:si>
  <x:si>
    <x:t xml:space="preserve">The Golden Garden</x:t>
  </x:si>
  <x:si>
    <x:t xml:space="preserve">Place on Grasslands, Woodland, or Ruins.</x:t>
  </x:si>
  <x:si>
    <x:t xml:space="preserve">Once per round, prevent 1 Strain that would be placed on a tile adjacent to this tile.</x:t>
  </x:si>
  <x:si>
    <x:t xml:space="preserve">+5 Renown if the game ends with 0 Overstrained tiles.</x:t>
  </x:si>
  <x:si>
    <x:t xml:space="preserve">Protected district and recovery planning.</x:t>
  </x:si>
  <x:si>
    <x:t xml:space="preserve">Strong, but local and once per round.</x:t>
  </x:si>
  <x:si>
    <x:t xml:space="preserve">Target Cards — Optional Automatic Strain Targeting v5.2</x:t>
  </x:si>
  <x:si>
    <x:t xml:space="preserve">Player Choice remains the default. This sheet defines the optional 24-card deck and its resolution order.</x:t>
  </x:si>
  <x:si>
    <x:t xml:space="preserve">Field</x:t>
  </x:si>
  <x:si>
    <x:t xml:space="preserve">Authority</x:t>
  </x:si>
  <x:si>
    <x:t xml:space="preserve">Deck</x:t>
  </x:si>
  <x:si>
    <x:t xml:space="preserve">24 cards. Cards 13–24 repeat the preference combinations on cards 1–12 and use the opposite direction.</x:t>
  </x:si>
  <x:si>
    <x:t xml:space="preserve">Setup</x:t>
  </x:si>
  <x:si>
    <x:t xml:space="preserve">Shuffle once during setup and keep the deck face down. There is no discard pile and no reshuffling during play.</x:t>
  </x:si>
  <x:si>
    <x:t xml:space="preserve">Eligibility</x:t>
  </x:si>
  <x:si>
    <x:t xml:space="preserve">The originating Burden or effect determines the eligible tiles. Resolve printed fallbacks before drawing.</x:t>
  </x:si>
  <x:si>
    <x:t xml:space="preserve">Draw</x:t>
  </x:si>
  <x:si>
    <x:t xml:space="preserve">Draw one card for every different target, including when only one tile is eligible. Multiple Strain on one tile uses one card.</x:t>
  </x:si>
  <x:si>
    <x:t xml:space="preserve">Filter order</x:t>
  </x:si>
  <x:si>
    <x:t xml:space="preserve">Direction</x:t>
  </x:si>
  <x:si>
    <x:t xml:space="preserve">If several candidates remain, select the tile furthest in the fixed flat-top map direction: N, NE, SE, S, SW, or NW. Use fixed map-coordinate order for an exact tie.</x:t>
  </x:si>
  <x:si>
    <x:t xml:space="preserve">Return and prevention</x:t>
  </x:si>
  <x:si>
    <x:t xml:space="preserve">Return the card face down to the bottom of the deck, then resolve Supported, The Golden Garden, and other prevention. Prevented Strain is not redirected.</x:t>
  </x:si>
  <x:si>
    <x:t xml:space="preserve">Other choices</x:t>
  </x:si>
  <x:si>
    <x:t xml:space="preserve">Supported tiles remain eligible. Players still choose whether to pay in payment-or-Strain effects. Use a fresh card for every Overstrain spread target.</x:t>
  </x:si>
  <x:si>
    <x:t xml:space="preserve">Card</x:t>
  </x:si>
  <x:si>
    <x:t xml:space="preserve">Tile Class</x:t>
  </x:si>
  <x:si>
    <x:t xml:space="preserve">Tile Side</x:t>
  </x:si>
  <x:si>
    <x:t xml:space="preserve">Adjacency</x:t>
  </x:si>
  <x:si>
    <x:t xml:space="preserve">Current Strain</x:t>
  </x:si>
  <x:si>
    <x:t xml:space="preserve">Opposite Card</x:t>
  </x:si>
  <x:si>
    <x:t xml:space="preserve">Basic</x:t>
  </x:si>
  <x:si>
    <x:t xml:space="preserve">3+ adjacent</x:t>
  </x:si>
  <x:si>
    <x:t xml:space="preserve">Already Strained (1–2)</x:t>
  </x:si>
  <x:si>
    <x:t xml:space="preserve">N</x:t>
  </x:si>
  <x:si>
    <x:t xml:space="preserve">Base preference combination</x:t>
  </x:si>
  <x:si>
    <x:t xml:space="preserve">Unstrained (0)</x:t>
  </x:si>
  <x:si>
    <x:t xml:space="preserve">S</x:t>
  </x:si>
  <x:si>
    <x:t xml:space="preserve">0–2 adjacent</x:t>
  </x:si>
  <x:si>
    <x:t xml:space="preserve">NE</x:t>
  </x:si>
  <x:si>
    <x:t xml:space="preserve">SW</x:t>
  </x:si>
  <x:si>
    <x:t xml:space="preserve">Upgraded</x:t>
  </x:si>
  <x:si>
    <x:t xml:space="preserve">SE</x:t>
  </x:si>
  <x:si>
    <x:t xml:space="preserve">NW</x:t>
  </x:si>
  <x:si>
    <x:t xml:space="preserve">Special or Golden</x:t>
  </x:si>
  <x:si>
    <x:t xml:space="preserve">Either</x:t>
  </x:si>
  <x:si>
    <x:t xml:space="preserve">Opposite-direction partner</x:t>
  </x:si>
  <x:si>
    <x:t xml:space="preserve">Ledger rule</x:t>
  </x:si>
  <x:si>
    <x:t xml:space="preserve">Current authority</x:t>
  </x:si>
  <x:si>
    <x:t xml:space="preserve">Use</x:t>
  </x:si>
  <x:si>
    <x:t xml:space="preserve">Counting</x:t>
  </x:si>
  <x:si>
    <x:t xml:space="preserve">Each named Ledger Entry counts once toward Golden unlock thresholds.</x:t>
  </x:si>
  <x:si>
    <x:t xml:space="preserve">Extra boxes</x:t>
  </x:si>
  <x:si>
    <x:t xml:space="preserve">Vows</x:t>
  </x:si>
  <x:si>
    <x:t xml:space="preserve">Entries marked Type = Vow must be declared before setup.</x:t>
  </x:si>
  <x:si>
    <x:t xml:space="preserve">Golden content</x:t>
  </x:si>
  <x:si>
    <x:t xml:space="preserve">Optional advanced content unlocked persistently through the Ledger.</x:t>
  </x:si>
</x:sst>
</file>

<file path=xl/styles.xml><?xml version="1.0" encoding="utf-8"?>
<x:styleSheet xmlns:x="http://schemas.openxmlformats.org/spreadsheetml/2006/main">
  <x:numFmts count="1">
    <x:numFmt numFmtId="200" formatCode="0"/>
  </x:numFmts>
  <x:fonts count="19">
    <x:font>
      <x:sz val="11"/>
      <x:name val="Carlito"/>
    </x:font>
    <x:font>
      <x:sz val="10"/>
      <x:color rgb="FF2B2B2B"/>
      <x:name val="Georgia"/>
    </x:font>
    <x:font>
      <x:b/>
      <x:sz val="14"/>
      <x:color rgb="FF2F5B3C"/>
      <x:name val="Georgia"/>
    </x:font>
    <x:font>
      <x:i/>
      <x:sz val="9"/>
      <x:color rgb="FF2B2B2B"/>
      <x:name val="Georgia"/>
    </x:font>
    <x:font>
      <x:b/>
      <x:sz val="9"/>
      <x:color rgb="FFFFFFFF"/>
      <x:name val="Georgia"/>
    </x:font>
    <x:font>
      <x:sz val="8"/>
      <x:color rgb="FF2B2B2B"/>
      <x:name val="Georgia"/>
    </x:font>
    <x:font>
      <x:b/>
      <x:sz val="14"/>
      <x:color rgb="FFFFFFFF"/>
      <x:name val="Carlito"/>
    </x:font>
    <x:font>
      <x:i/>
      <x:sz val="11"/>
      <x:color rgb="FF4A3A28"/>
      <x:name val="Carlito"/>
    </x:font>
    <x:font>
      <x:b/>
      <x:sz val="11"/>
      <x:color rgb="FFFFFFFF"/>
      <x:name val="Carlito"/>
    </x:font>
    <x:font>
      <x:b/>
      <x:sz val="18"/>
      <x:color rgb="FF2F5D3A"/>
      <x:name val="Carlito"/>
    </x:font>
    <x:font>
      <x:i/>
      <x:sz val="11"/>
      <x:color rgb="FF7A6540"/>
      <x:name val="Carlito"/>
    </x:font>
    <x:font>
      <x:sz val="11"/>
      <x:color rgb="FF222222"/>
      <x:name val="Carlito"/>
    </x:font>
    <x:font>
      <x:b/>
      <x:sz val="11"/>
      <x:color rgb="FF2F5B3C"/>
      <x:name val="Carlito"/>
    </x:font>
    <x:font>
      <x:i/>
      <x:sz val="11"/>
      <x:color rgb="FF2B2B2B"/>
      <x:name val="Carlito"/>
    </x:font>
    <x:font>
      <x:sz val="11"/>
      <x:color rgb="FF2B2B2B"/>
      <x:name val="Carlito"/>
    </x:font>
    <x:font>
      <x:sz val="11"/>
      <x:color rgb="FF2F2A22"/>
      <x:name val="Carlito"/>
    </x:font>
    <x:font>
      <x:i/>
      <x:sz val="11"/>
      <x:color rgb="FF6B5B3E"/>
      <x:name val="Carlito"/>
    </x:font>
    <x:font>
      <x:b/>
      <x:sz val="11"/>
      <x:color rgb="FF2F5D3A"/>
      <x:name val="Carlito"/>
    </x:font>
    <x:font>
      <x:b/>
      <x:sz val="16"/>
      <x:color rgb="FFFFFFFF"/>
      <x:name val="Carlito"/>
    </x:font>
  </x:fonts>
  <x:fills count="23">
    <x:fill>
      <x:patternFill patternType="none"/>
    </x:fill>
    <x:fill>
      <x:patternFill patternType="gray125"/>
    </x:fill>
    <x:fill>
      <x:patternFill patternType="solid">
        <x:fgColor rgb="FFEFE6CF"/>
      </x:patternFill>
    </x:fill>
    <x:fill>
      <x:patternFill patternType="solid">
        <x:fgColor rgb="FFF3EBD7"/>
      </x:patternFill>
    </x:fill>
    <x:fill>
      <x:patternFill patternType="solid">
        <x:fgColor rgb="FF355E3B"/>
      </x:patternFill>
    </x:fill>
    <x:fill>
      <x:patternFill patternType="solid">
        <x:fgColor rgb="FF2F5D3A"/>
      </x:patternFill>
    </x:fill>
    <x:fill>
      <x:patternFill patternType="solid">
        <x:fgColor rgb="FFF4ECD8"/>
      </x:patternFill>
    </x:fill>
    <x:fill>
      <x:patternFill patternType="solid">
        <x:fgColor rgb="FF2F5B3C"/>
      </x:patternFill>
    </x:fill>
    <x:fill>
      <x:patternFill patternType="solid">
        <x:fgColor rgb="FFFBF7ED"/>
      </x:patternFill>
    </x:fill>
    <x:fill>
      <x:patternFill patternType="solid">
        <x:fgColor rgb="FFF4EEDC"/>
      </x:patternFill>
    </x:fill>
    <x:fill>
      <x:patternFill patternType="solid">
        <x:fgColor rgb="FFFFFFFF"/>
      </x:patternFill>
    </x:fill>
    <x:fill>
      <x:patternFill patternType="solid">
        <x:fgColor rgb="FFF3ECD7"/>
      </x:patternFill>
    </x:fill>
    <x:fill>
      <x:patternFill patternType="solid">
        <x:fgColor rgb="FF2F5D3A"/>
      </x:patternFill>
    </x:fill>
    <x:fill>
      <x:patternFill patternType="solid">
        <x:fgColor rgb="FFF7F2E3"/>
      </x:patternFill>
    </x:fill>
    <x:fill>
      <x:patternFill patternType="solid">
        <x:fgColor rgb="FFE7EFE3"/>
      </x:patternFill>
    </x:fill>
    <x:fill>
      <x:patternFill patternType="solid">
        <x:fgColor rgb="FFF3ECD7"/>
      </x:patternFill>
    </x:fill>
    <x:fill>
      <x:patternFill patternType="solid">
        <x:fgColor rgb="FF2F5D3A"/>
      </x:patternFill>
    </x:fill>
    <x:fill>
      <x:patternFill patternType="solid">
        <x:fgColor rgb="FFF7F2E3"/>
      </x:patternFill>
    </x:fill>
    <x:fill>
      <x:patternFill patternType="solid">
        <x:fgColor rgb="FFE7EFE3"/>
      </x:patternFill>
    </x:fill>
    <x:fill>
      <x:patternFill patternType="solid">
        <x:fgColor rgb="FFEFE6CF"/>
      </x:patternFill>
    </x:fill>
    <x:fill>
      <x:patternFill patternType="solid">
        <x:fgColor rgb="FFF4EEDC"/>
      </x:patternFill>
    </x:fill>
    <x:fill>
      <x:patternFill patternType="solid">
        <x:fgColor rgb="FFE7EFE3"/>
      </x:patternFill>
    </x:fill>
    <x:fill>
      <x:patternFill patternType="solid">
        <x:fgColor rgb="FFF3ECD7"/>
      </x:patternFill>
    </x:fill>
  </x:fills>
  <x:borders count="27">
    <x:border/>
    <x:border/>
    <x:border/>
    <x:border>
      <x:left style="thin">
        <x:color rgb="FFB8A66A"/>
      </x:left>
      <x:right style="thin">
        <x:color rgb="FFB8A66A"/>
      </x:right>
      <x:top style="thin">
        <x:color rgb="FFB8A66A"/>
      </x:top>
      <x:bottom style="thin">
        <x:color rgb="FFB8A66A"/>
      </x:bottom>
    </x:border>
    <x:border>
      <x:left style="thin">
        <x:color rgb="FFB8A66A"/>
      </x:left>
      <x:right style="thin">
        <x:color rgb="FFB8A66A"/>
      </x:right>
    </x:border>
    <x:border>
      <x:left style="thin">
        <x:color rgb="FFB69A5E"/>
      </x:left>
      <x:right style="thin">
        <x:color rgb="FFB69A5E"/>
      </x:right>
      <x:top style="thin">
        <x:color rgb="FFB69A5E"/>
      </x:top>
      <x:bottom style="thin">
        <x:color rgb="FFB69A5E"/>
      </x:bottom>
    </x:border>
    <x:border>
      <x:right style="thin">
        <x:color rgb="FFB8A66A"/>
      </x:right>
    </x:border>
    <x:border>
      <x:left style="thin">
        <x:color rgb="FFB8A66A"/>
      </x:left>
    </x:border>
    <x:border>
      <x:left style="thin">
        <x:color rgb="FFB8A66A"/>
      </x:left>
      <x:top style="thin">
        <x:color rgb="FFB8A66A"/>
      </x:top>
      <x:bottom style="thin">
        <x:color rgb="FFB8A66A"/>
      </x:bottom>
    </x:border>
    <x:border>
      <x:top style="thin">
        <x:color rgb="FFB8A66A"/>
      </x:top>
      <x:bottom style="thin">
        <x:color rgb="FFB8A66A"/>
      </x:bottom>
    </x:border>
    <x:border>
      <x:right style="thin">
        <x:color rgb="FFB8A66A"/>
      </x:right>
      <x:top style="thin">
        <x:color rgb="FFB8A66A"/>
      </x:top>
      <x:bottom style="thin">
        <x:color rgb="FFB8A66A"/>
      </x:bottom>
    </x:border>
    <x:border>
      <x:left style="thin">
        <x:color rgb="FFD8CDA8"/>
      </x:left>
      <x:top style="thin">
        <x:color rgb="FFD8CDA8"/>
      </x:top>
    </x:border>
    <x:border>
      <x:top style="thin">
        <x:color rgb="FFD8CDA8"/>
      </x:top>
    </x:border>
    <x:border>
      <x:right style="thin">
        <x:color rgb="FFD8CDA8"/>
      </x:right>
      <x:top style="thin">
        <x:color rgb="FFD8CDA8"/>
      </x:top>
    </x:border>
    <x:border>
      <x:left style="thin">
        <x:color rgb="FFD8CDA8"/>
      </x:left>
    </x:border>
    <x:border>
      <x:right style="thin">
        <x:color rgb="FFD8CDA8"/>
      </x:right>
    </x:border>
    <x:border>
      <x:left style="thin">
        <x:color rgb="FFD8CDA8"/>
      </x:left>
      <x:bottom style="thin">
        <x:color rgb="FFD8CDA8"/>
      </x:bottom>
    </x:border>
    <x:border>
      <x:bottom style="thin">
        <x:color rgb="FFD8CDA8"/>
      </x:bottom>
    </x:border>
    <x:border>
      <x:right style="thin">
        <x:color rgb="FFD8CDA8"/>
      </x:right>
      <x:bottom style="thin">
        <x:color rgb="FFD8CDA8"/>
      </x:bottom>
    </x:border>
    <x:border>
      <x:left style="thin">
        <x:color rgb="FFC9B276"/>
      </x:left>
      <x:right style="thin">
        <x:color rgb="FFC9B276"/>
      </x:right>
      <x:top style="thin">
        <x:color rgb="FFC9B276"/>
      </x:top>
      <x:bottom style="thin">
        <x:color rgb="FFC9B276"/>
      </x:bottom>
    </x:border>
    <x:border>
      <x:left style="thin">
        <x:color rgb="FFC9B276"/>
      </x:left>
      <x:right style="thin">
        <x:color rgb="FFC9B276"/>
      </x:right>
      <x:top style="thin">
        <x:color rgb="FFC9B276"/>
      </x:top>
      <x:bottom style="double">
        <x:color rgb="FFC9B276"/>
      </x:bottom>
    </x:border>
    <x:border>
      <x:left style="thin">
        <x:color rgb="FFC9B276"/>
      </x:left>
      <x:top style="thin">
        <x:color rgb="FFC9B276"/>
      </x:top>
    </x:border>
    <x:border>
      <x:top style="thin">
        <x:color rgb="FFC9B276"/>
      </x:top>
    </x:border>
    <x:border>
      <x:right style="thin">
        <x:color rgb="FFC9B276"/>
      </x:right>
      <x:top style="thin">
        <x:color rgb="FFC9B276"/>
      </x:top>
    </x:border>
    <x:border>
      <x:left style="thin">
        <x:color rgb="FFC9B276"/>
      </x:left>
      <x:bottom style="thin">
        <x:color rgb="FFC9B276"/>
      </x:bottom>
    </x:border>
    <x:border>
      <x:bottom style="thin">
        <x:color rgb="FFC9B276"/>
      </x:bottom>
    </x:border>
    <x:border>
      <x:right style="thin">
        <x:color rgb="FFC9B276"/>
      </x:right>
      <x:bottom style="thin">
        <x:color rgb="FFC9B276"/>
      </x:bottom>
    </x:border>
  </x:borders>
  <x:cellStyleXfs count="1">
    <x:xf numFmtId="0" fontId="0" fillId="0" borderId="1"/>
  </x:cellStyleXfs>
  <x:cellXfs count="180">
    <x:xf numFmtId="0" fontId="0" fillId="0" borderId="0" xfId="0" applyBorder="1"/>
    <x:xf numFmtId="0" fontId="1" fillId="2" borderId="3" xfId="0" applyNumberFormat="1" applyFont="1" applyFill="1" applyBorder="1" applyAlignment="1">
      <x:alignment horizontal="left" vertical="top" wrapText="1"/>
    </x:xf>
    <x:xf numFmtId="0" fontId="5" fillId="2" borderId="3" xfId="0" applyNumberFormat="1" applyFont="1" applyFill="1" applyBorder="1" applyAlignment="1">
      <x:alignment horizontal="left" vertical="top" wrapText="1"/>
    </x:xf>
    <x:xf numFmtId="0" fontId="0" fillId="3" borderId="5" xfId="0" applyNumberFormat="1" applyFont="1" applyFill="1" applyBorder="1" applyAlignment="1">
      <x:alignment vertical="top" wrapText="1"/>
    </x:xf>
    <x:xf numFmtId="0" fontId="0" fillId="0" borderId="2" xfId="0" applyNumberFormat="1" applyFont="1" applyFill="1" applyBorder="1" applyAlignment="1">
      <x:alignment wrapText="1"/>
    </x:xf>
    <x:xf numFmtId="0" fontId="8" fillId="4" borderId="5" xfId="0" applyNumberFormat="1" applyFont="1" applyFill="1" applyBorder="1" applyAlignment="1">
      <x:alignment horizontal="left" vertical="center" wrapText="1"/>
    </x:xf>
    <x:xf numFmtId="0" fontId="8" fillId="7" borderId="8" xfId="0" applyNumberFormat="1" applyFont="1" applyFill="1" applyBorder="1" applyAlignment="1">
      <x:alignment horizontal="left" vertical="center" wrapText="1"/>
    </x:xf>
    <x:xf numFmtId="0" fontId="8" fillId="7" borderId="9" xfId="0" applyNumberFormat="1" applyFont="1" applyFill="1" applyBorder="1" applyAlignment="1">
      <x:alignment horizontal="left" vertical="center" wrapText="1"/>
    </x:xf>
    <x:xf numFmtId="0" fontId="8" fillId="7" borderId="10" xfId="0" applyNumberFormat="1" applyFont="1" applyFill="1" applyBorder="1" applyAlignment="1">
      <x:alignment horizontal="left" vertical="center" wrapText="1"/>
    </x:xf>
    <x:xf numFmtId="0" fontId="14" fillId="8" borderId="11" xfId="0" applyNumberFormat="1" applyFont="1" applyFill="1" applyBorder="1" applyAlignment="1">
      <x:alignment vertical="top" wrapText="1"/>
    </x:xf>
    <x:xf numFmtId="0" fontId="14" fillId="8" borderId="12" xfId="0" applyNumberFormat="1" applyFont="1" applyFill="1" applyBorder="1" applyAlignment="1">
      <x:alignment vertical="top" wrapText="1"/>
    </x:xf>
    <x:xf numFmtId="0" fontId="14" fillId="8" borderId="13" xfId="0" applyNumberFormat="1" applyFont="1" applyFill="1" applyBorder="1" applyAlignment="1">
      <x:alignment vertical="top" wrapText="1"/>
    </x:xf>
    <x:xf numFmtId="0" fontId="14" fillId="8" borderId="14" xfId="0" applyNumberFormat="1" applyFont="1" applyFill="1" applyBorder="1" applyAlignment="1">
      <x:alignment vertical="top" wrapText="1"/>
    </x:xf>
    <x:xf numFmtId="0" fontId="14" fillId="8" borderId="15" xfId="0" applyNumberFormat="1" applyFont="1" applyFill="1" applyBorder="1" applyAlignment="1">
      <x:alignment vertical="top" wrapText="1"/>
    </x:xf>
    <x:xf numFmtId="0" fontId="14" fillId="8" borderId="16" xfId="0" applyNumberFormat="1" applyFont="1" applyFill="1" applyBorder="1" applyAlignment="1">
      <x:alignment vertical="top" wrapText="1"/>
    </x:xf>
    <x:xf numFmtId="0" fontId="14" fillId="8" borderId="17" xfId="0" applyNumberFormat="1" applyFont="1" applyFill="1" applyBorder="1" applyAlignment="1">
      <x:alignment vertical="top" wrapText="1"/>
    </x:xf>
    <x:xf numFmtId="0" fontId="14" fillId="8" borderId="18" xfId="0" applyNumberFormat="1" applyFont="1" applyFill="1" applyBorder="1" applyAlignment="1">
      <x:alignment vertical="top" wrapText="1"/>
    </x:xf>
    <x:xf numFmtId="0" fontId="14" fillId="9" borderId="11" xfId="0" applyNumberFormat="1" applyFont="1" applyFill="1" applyBorder="1" applyAlignment="1">
      <x:alignment vertical="top" wrapText="1"/>
    </x:xf>
    <x:xf numFmtId="0" fontId="14" fillId="9" borderId="13" xfId="0" applyNumberFormat="1" applyFont="1" applyFill="1" applyBorder="1" applyAlignment="1">
      <x:alignment vertical="top" wrapText="1"/>
    </x:xf>
    <x:xf numFmtId="0" fontId="14" fillId="9" borderId="14" xfId="0" applyNumberFormat="1" applyFont="1" applyFill="1" applyBorder="1" applyAlignment="1">
      <x:alignment vertical="top" wrapText="1"/>
    </x:xf>
    <x:xf numFmtId="0" fontId="14" fillId="9" borderId="15" xfId="0" applyNumberFormat="1" applyFont="1" applyFill="1" applyBorder="1" applyAlignment="1">
      <x:alignment vertical="top" wrapText="1"/>
    </x:xf>
    <x:xf numFmtId="0" fontId="14" fillId="9" borderId="16" xfId="0" applyNumberFormat="1" applyFont="1" applyFill="1" applyBorder="1" applyAlignment="1">
      <x:alignment vertical="top" wrapText="1"/>
    </x:xf>
    <x:xf numFmtId="0" fontId="14" fillId="9" borderId="18" xfId="0" applyNumberFormat="1" applyFont="1" applyFill="1" applyBorder="1" applyAlignment="1">
      <x:alignment vertical="top" wrapText="1"/>
    </x:xf>
    <x:xf numFmtId="0" fontId="1" fillId="10" borderId="6" xfId="0" applyFont="1" applyFill="1" applyBorder="1" applyAlignment="1">
      <x:alignment horizontal="left" vertical="top" wrapText="1"/>
    </x:xf>
    <x:xf numFmtId="0" fontId="1" fillId="10" borderId="4" xfId="0" applyFont="1" applyFill="1" applyBorder="1" applyAlignment="1">
      <x:alignment horizontal="left" vertical="top" wrapText="1"/>
    </x:xf>
    <x:xf numFmtId="0" fontId="1" fillId="10" borderId="7" xfId="0" applyFont="1" applyFill="1" applyBorder="1" applyAlignment="1">
      <x:alignment horizontal="left" vertical="top" wrapText="1"/>
    </x:xf>
    <x:xf numFmtId="0" fontId="4" fillId="7" borderId="3" xfId="0" applyFont="1" applyFill="1" applyBorder="1" applyAlignment="1">
      <x:alignment horizontal="left" vertical="top" wrapText="1"/>
    </x:xf>
    <x:xf numFmtId="0" fontId="5" fillId="9" borderId="3" xfId="0" applyFont="1" applyFill="1" applyBorder="1" applyAlignment="1">
      <x:alignment horizontal="left" vertical="top" wrapText="1"/>
    </x:xf>
    <x:xf numFmtId="0" fontId="1" fillId="9" borderId="3" xfId="0" applyFont="1" applyFill="1" applyBorder="1" applyAlignment="1">
      <x:alignment horizontal="left" vertical="top" wrapText="1"/>
    </x:xf>
    <x:xf numFmtId="0" fontId="1" fillId="9" borderId="3" xfId="0" applyNumberFormat="1" applyFont="1" applyFill="1" applyBorder="1" applyAlignment="1">
      <x:alignment horizontal="left" vertical="top" wrapText="1"/>
    </x:xf>
    <x:xf numFmtId="0" fontId="5" fillId="2" borderId="3" xfId="0" applyFont="1" applyFill="1" applyBorder="1" applyAlignment="1">
      <x:alignment horizontal="left" vertical="top" wrapText="1"/>
    </x:xf>
    <x:xf numFmtId="0" fontId="1" fillId="2" borderId="3" xfId="0" applyFont="1" applyFill="1" applyBorder="1" applyAlignment="1">
      <x:alignment horizontal="left" vertical="top" wrapText="1"/>
    </x:xf>
    <x:xf numFmtId="0" fontId="2" fillId="10" borderId="6" xfId="0" applyFont="1" applyFill="1" applyBorder="1" applyAlignment="1">
      <x:alignment horizontal="left" vertical="top" wrapText="1"/>
    </x:xf>
    <x:xf numFmtId="0" fontId="2" fillId="10" borderId="4" xfId="0" applyFont="1" applyFill="1" applyBorder="1" applyAlignment="1">
      <x:alignment horizontal="left" vertical="top" wrapText="1"/>
    </x:xf>
    <x:xf numFmtId="0" fontId="2" fillId="10" borderId="7" xfId="0" applyFont="1" applyFill="1" applyBorder="1" applyAlignment="1">
      <x:alignment horizontal="left" vertical="top" wrapText="1"/>
    </x:xf>
    <x:xf numFmtId="0" fontId="3" fillId="10" borderId="6" xfId="0" applyFont="1" applyFill="1" applyBorder="1" applyAlignment="1">
      <x:alignment horizontal="left" vertical="top" wrapText="1"/>
    </x:xf>
    <x:xf numFmtId="0" fontId="3" fillId="10" borderId="4" xfId="0" applyFont="1" applyFill="1" applyBorder="1" applyAlignment="1">
      <x:alignment horizontal="left" vertical="top" wrapText="1"/>
    </x:xf>
    <x:xf numFmtId="0" fontId="3" fillId="10" borderId="7" xfId="0" applyFont="1" applyFill="1" applyBorder="1" applyAlignment="1">
      <x:alignment horizontal="left" vertical="top" wrapText="1"/>
    </x:xf>
    <x:xf numFmtId="0" fontId="2" fillId="10" borderId="4" xfId="0" applyNumberFormat="1" applyFont="1" applyFill="1" applyBorder="1" applyAlignment="1">
      <x:alignment horizontal="left" vertical="top" wrapText="1"/>
    </x:xf>
    <x:xf numFmtId="0" fontId="4" fillId="7" borderId="3" xfId="0" applyNumberFormat="1" applyFont="1" applyFill="1" applyBorder="1" applyAlignment="1">
      <x:alignment horizontal="left" vertical="top" wrapText="1"/>
    </x:xf>
    <x:xf numFmtId="0" fontId="5" fillId="9" borderId="3" xfId="0" applyNumberFormat="1" applyFont="1" applyFill="1" applyBorder="1" applyAlignment="1">
      <x:alignment horizontal="left" vertical="top" wrapText="1"/>
    </x:xf>
    <x:xf numFmtId="0" fontId="0" fillId="0" borderId="2" xfId="0" applyBorder="1"/>
    <x:xf numFmtId="0" fontId="2" fillId="10" borderId="6" xfId="0" applyNumberFormat="1" applyFont="1" applyFill="1" applyBorder="1" applyAlignment="1">
      <x:alignment horizontal="left" vertical="top" wrapText="1"/>
    </x:xf>
    <x:xf numFmtId="0" fontId="2" fillId="10" borderId="7" xfId="0" applyNumberFormat="1" applyFont="1" applyFill="1" applyBorder="1" applyAlignment="1">
      <x:alignment horizontal="left" vertical="top" wrapText="1"/>
    </x:xf>
    <x:xf numFmtId="0" fontId="3" fillId="10" borderId="6" xfId="0" applyNumberFormat="1" applyFont="1" applyFill="1" applyBorder="1" applyAlignment="1">
      <x:alignment horizontal="left" vertical="top" wrapText="1"/>
    </x:xf>
    <x:xf numFmtId="0" fontId="3" fillId="10" borderId="4" xfId="0" applyNumberFormat="1" applyFont="1" applyFill="1" applyBorder="1" applyAlignment="1">
      <x:alignment horizontal="left" vertical="top" wrapText="1"/>
    </x:xf>
    <x:xf numFmtId="0" fontId="3" fillId="10" borderId="7" xfId="0" applyNumberFormat="1" applyFont="1" applyFill="1" applyBorder="1" applyAlignment="1">
      <x:alignment horizontal="left" vertical="top" wrapText="1"/>
    </x:xf>
    <x:xf numFmtId="0" fontId="1" fillId="10" borderId="6" xfId="0" applyNumberFormat="1" applyFont="1" applyFill="1" applyBorder="1" applyAlignment="1">
      <x:alignment horizontal="left" vertical="top" wrapText="1"/>
    </x:xf>
    <x:xf numFmtId="0" fontId="1" fillId="10" borderId="4" xfId="0" applyNumberFormat="1" applyFont="1" applyFill="1" applyBorder="1" applyAlignment="1">
      <x:alignment horizontal="left" vertical="top" wrapText="1"/>
    </x:xf>
    <x:xf numFmtId="0" fontId="1" fillId="10" borderId="7" xfId="0" applyNumberFormat="1" applyFont="1" applyFill="1" applyBorder="1" applyAlignment="1">
      <x:alignment horizontal="left" vertical="top" wrapText="1"/>
    </x:xf>
    <x:xf numFmtId="0" fontId="8" fillId="5" borderId="2" xfId="0" applyNumberFormat="1" applyFont="1" applyFill="1" applyBorder="1" applyAlignment="1">
      <x:alignment vertical="center" wrapText="1"/>
    </x:xf>
    <x:xf numFmtId="0" fontId="11" fillId="6" borderId="2" xfId="0" applyNumberFormat="1" applyFont="1" applyFill="1" applyBorder="1" applyAlignment="1">
      <x:alignment vertical="top" wrapText="1"/>
    </x:xf>
    <x:xf numFmtId="0" fontId="14" fillId="8" borderId="2" xfId="0" applyNumberFormat="1" applyFont="1" applyFill="1" applyBorder="1" applyAlignment="1">
      <x:alignment vertical="top" wrapText="1"/>
    </x:xf>
    <x:xf numFmtId="0" fontId="2" fillId="10" borderId="6" xfId="0" applyNumberFormat="1" applyFont="1" applyFill="1" applyBorder="1" applyAlignment="1">
      <x:alignment horizontal="left" vertical="center" wrapText="1"/>
    </x:xf>
    <x:xf numFmtId="0" fontId="2" fillId="10" borderId="4" xfId="0" applyNumberFormat="1" applyFont="1" applyFill="1" applyBorder="1" applyAlignment="1">
      <x:alignment horizontal="left" vertical="center" wrapText="1"/>
    </x:xf>
    <x:xf numFmtId="0" fontId="2" fillId="10" borderId="7" xfId="0" applyNumberFormat="1" applyFont="1" applyFill="1" applyBorder="1" applyAlignment="1">
      <x:alignment horizontal="left" vertical="center" wrapText="1"/>
    </x:xf>
    <x:xf numFmtId="0" fontId="3" fillId="10" borderId="6" xfId="0" applyNumberFormat="1" applyFont="1" applyFill="1" applyBorder="1" applyAlignment="1">
      <x:alignment horizontal="left" vertical="center" wrapText="1"/>
    </x:xf>
    <x:xf numFmtId="0" fontId="3" fillId="10" borderId="4" xfId="0" applyNumberFormat="1" applyFont="1" applyFill="1" applyBorder="1" applyAlignment="1">
      <x:alignment horizontal="left" vertical="center" wrapText="1"/>
    </x:xf>
    <x:xf numFmtId="0" fontId="3" fillId="10" borderId="7" xfId="0" applyNumberFormat="1" applyFont="1" applyFill="1" applyBorder="1" applyAlignment="1">
      <x:alignment horizontal="left" vertical="center" wrapText="1"/>
    </x:xf>
    <x:xf numFmtId="0" fontId="6" fillId="4" borderId="2" xfId="0" applyNumberFormat="1" applyFont="1" applyFill="1" applyBorder="1" applyAlignment="1">
      <x:alignment horizontal="left" vertical="center" wrapText="1"/>
    </x:xf>
    <x:xf numFmtId="0" fontId="7" fillId="3" borderId="2" xfId="0" applyNumberFormat="1" applyFont="1" applyFill="1" applyBorder="1" applyAlignment="1">
      <x:alignment horizontal="left" vertical="center" wrapText="1"/>
    </x:xf>
    <x:xf numFmtId="0" fontId="11" fillId="6" borderId="2" xfId="0" applyNumberFormat="1" applyFont="1" applyFill="1" applyBorder="1" applyAlignment="1">
      <x:alignment vertical="top" wrapText="1"/>
    </x:xf>
    <x:xf numFmtId="0" fontId="9" fillId="10" borderId="2" xfId="0" applyNumberFormat="1" applyFont="1" applyFill="1" applyBorder="1" applyAlignment="1">
      <x:alignment vertical="center" wrapText="1"/>
    </x:xf>
    <x:xf numFmtId="0" fontId="10" fillId="0" borderId="2" xfId="0" applyNumberFormat="1" applyFont="1" applyFill="1" applyBorder="1" applyAlignment="1">
      <x:alignment wrapText="1"/>
    </x:xf>
    <x:xf numFmtId="0" fontId="8" fillId="5" borderId="2" xfId="0" applyNumberFormat="1" applyFont="1" applyFill="1" applyBorder="1" applyAlignment="1">
      <x:alignment vertical="center" wrapText="1"/>
    </x:xf>
    <x:xf numFmtId="0" fontId="12" fillId="10" borderId="2" xfId="0" applyNumberFormat="1" applyFont="1" applyFill="1" applyBorder="1" applyAlignment="1">
      <x:alignment horizontal="left" vertical="center"/>
    </x:xf>
    <x:xf numFmtId="0" fontId="13" fillId="10" borderId="2" xfId="0" applyNumberFormat="1" applyFont="1" applyFill="1" applyBorder="1" applyAlignment="1">
      <x:alignment horizontal="left"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vertical="center"/>
    </x:xf>
    <x:xf numFmtId="0" fontId="15" fillId="12" borderId="0" xfId="0" applyNumberFormat="1" applyFont="1" applyFill="1" applyBorder="1" applyAlignment="1">
      <x:alignment vertical="center"/>
    </x:xf>
    <x:xf numFmtId="0" fontId="8" fillId="12" borderId="0" xfId="0" applyNumberFormat="1" applyFont="1" applyFill="1" applyBorder="1" applyAlignment="1">
      <x:alignment vertical="center"/>
    </x:xf>
    <x:xf numFmtId="0" fontId="8" fillId="12" borderId="0" xfId="0" applyNumberFormat="1" applyFont="1" applyFill="1" applyBorder="1" applyAlignment="1">
      <x:alignment horizontal="left" vertical="center"/>
    </x:xf>
    <x:xf numFmtId="0" fontId="15" fillId="13" borderId="0" xfId="0" applyNumberFormat="1" applyFont="1" applyFill="1" applyBorder="1" applyAlignment="1">
      <x:alignment vertical="center"/>
    </x:xf>
    <x:xf numFmtId="0" fontId="16" fillId="13" borderId="0" xfId="0" applyNumberFormat="1" applyFont="1" applyFill="1" applyBorder="1" applyAlignment="1">
      <x:alignment vertical="center"/>
    </x:xf>
    <x:xf numFmtId="0" fontId="16" fillId="13" borderId="0" xfId="0" applyNumberFormat="1" applyFont="1" applyFill="1" applyBorder="1" applyAlignment="1">
      <x:alignment vertical="center" wrapText="1"/>
    </x:xf>
    <x:xf numFmtId="0" fontId="8" fillId="12" borderId="19" xfId="0" applyNumberFormat="1" applyFont="1" applyFill="1" applyBorder="1" applyAlignment="1">
      <x:alignment vertical="center"/>
    </x:xf>
    <x:xf numFmtId="0" fontId="8" fillId="12" borderId="19" xfId="0" applyNumberFormat="1" applyFont="1" applyFill="1" applyBorder="1" applyAlignment="1">
      <x:alignment vertical="center" wrapText="1"/>
    </x:xf>
    <x:xf numFmtId="0" fontId="15" fillId="11" borderId="19" xfId="0" applyNumberFormat="1" applyFont="1" applyFill="1" applyBorder="1" applyAlignment="1">
      <x:alignment vertical="center"/>
    </x:xf>
    <x:xf numFmtId="0" fontId="15" fillId="11" borderId="19" xfId="0" applyNumberFormat="1" applyFont="1" applyFill="1" applyBorder="1" applyAlignment="1">
      <x:alignment vertical="center" wrapText="1"/>
    </x:xf>
    <x:xf numFmtId="0" fontId="15" fillId="14" borderId="19" xfId="0" applyNumberFormat="1" applyFont="1" applyFill="1" applyBorder="1" applyAlignment="1">
      <x:alignment vertical="center" wrapText="1"/>
    </x:xf>
    <x:xf numFmtId="0" fontId="17" fillId="14" borderId="19" xfId="0" applyNumberFormat="1" applyFont="1" applyFill="1" applyBorder="1" applyAlignment="1">
      <x:alignment vertical="center" wrapText="1"/>
    </x:xf>
    <x:xf numFmtId="200" fontId="17" fillId="14" borderId="19" xfId="0" applyNumberFormat="1" applyFont="1" applyFill="1" applyBorder="1" applyAlignment="1">
      <x:alignment vertical="center" wrapText="1"/>
    </x:xf>
    <x:xf numFmtId="200" fontId="17" fillId="14" borderId="19" xfId="0" applyNumberFormat="1" applyFont="1" applyFill="1" applyBorder="1" applyAlignment="1">
      <x:alignment horizontal="center" vertical="center" wrapText="1"/>
    </x:xf>
    <x:xf numFmtId="200" fontId="15" fillId="14" borderId="19" xfId="0" applyNumberFormat="1" applyFont="1" applyFill="1" applyBorder="1" applyAlignment="1">
      <x:alignment vertical="center" wrapText="1"/>
    </x:xf>
    <x:xf numFmtId="200" fontId="15" fillId="14" borderId="19" xfId="0" applyNumberFormat="1" applyFont="1" applyFill="1" applyBorder="1" applyAlignment="1">
      <x:alignment horizontal="center" vertical="center" wrapText="1"/>
    </x:xf>
    <x:xf numFmtId="0" fontId="15" fillId="14" borderId="19" xfId="0" applyNumberFormat="1" applyFont="1" applyFill="1" applyBorder="1" applyAlignment="1">
      <x:alignment vertical="center"/>
    </x:xf>
    <x:xf numFmtId="0" fontId="17" fillId="14" borderId="19" xfId="0" applyNumberFormat="1" applyFont="1" applyFill="1" applyBorder="1" applyAlignment="1">
      <x:alignment vertical="center"/>
    </x:xf>
    <x:xf numFmtId="0" fontId="17" fillId="14" borderId="20" xfId="0" applyNumberFormat="1" applyFont="1" applyFill="1" applyBorder="1" applyAlignment="1">
      <x:alignment vertical="center"/>
    </x:xf>
    <x:xf numFmtId="0" fontId="16" fillId="13" borderId="21" xfId="0" applyNumberFormat="1" applyFont="1" applyFill="1" applyBorder="1" applyAlignment="1">
      <x:alignment vertical="center"/>
    </x:xf>
    <x:xf numFmtId="0" fontId="16" fillId="13" borderId="22" xfId="0" applyNumberFormat="1" applyFont="1" applyFill="1" applyBorder="1" applyAlignment="1">
      <x:alignment vertical="center"/>
    </x:xf>
    <x:xf numFmtId="0" fontId="16" fillId="13" borderId="23" xfId="0" applyNumberFormat="1" applyFont="1" applyFill="1" applyBorder="1" applyAlignment="1">
      <x:alignment vertical="center"/>
    </x:xf>
    <x:xf numFmtId="0" fontId="16" fillId="13" borderId="24" xfId="0" applyNumberFormat="1" applyFont="1" applyFill="1" applyBorder="1" applyAlignment="1">
      <x:alignment vertical="center"/>
    </x:xf>
    <x:xf numFmtId="0" fontId="16" fillId="13" borderId="25" xfId="0" applyNumberFormat="1" applyFont="1" applyFill="1" applyBorder="1" applyAlignment="1">
      <x:alignment vertical="center"/>
    </x:xf>
    <x:xf numFmtId="0" fontId="16" fillId="13" borderId="26" xfId="0" applyNumberFormat="1" applyFont="1" applyFill="1" applyBorder="1" applyAlignment="1">
      <x:alignment vertical="center"/>
    </x:xf>
    <x:xf numFmtId="0" fontId="16" fillId="13" borderId="21" xfId="0" applyNumberFormat="1" applyFont="1" applyFill="1" applyBorder="1" applyAlignment="1">
      <x:alignment vertical="center" wrapText="1"/>
    </x:xf>
    <x:xf numFmtId="0" fontId="16" fillId="13" borderId="22" xfId="0" applyNumberFormat="1" applyFont="1" applyFill="1" applyBorder="1" applyAlignment="1">
      <x:alignment vertical="center" wrapText="1"/>
    </x:xf>
    <x:xf numFmtId="0" fontId="16" fillId="13" borderId="23" xfId="0" applyNumberFormat="1" applyFont="1" applyFill="1" applyBorder="1" applyAlignment="1">
      <x:alignment vertical="center" wrapText="1"/>
    </x:xf>
    <x:xf numFmtId="0" fontId="16" fillId="13" borderId="24" xfId="0" applyNumberFormat="1" applyFont="1" applyFill="1" applyBorder="1" applyAlignment="1">
      <x:alignment vertical="center" wrapText="1"/>
    </x:xf>
    <x:xf numFmtId="0" fontId="16" fillId="13" borderId="25" xfId="0" applyNumberFormat="1" applyFont="1" applyFill="1" applyBorder="1" applyAlignment="1">
      <x:alignment vertical="center" wrapText="1"/>
    </x:xf>
    <x:xf numFmtId="0" fontId="16" fillId="13" borderId="26" xfId="0" applyNumberFormat="1" applyFont="1" applyFill="1" applyBorder="1" applyAlignment="1">
      <x:alignment vertical="center" wrapText="1"/>
    </x:xf>
    <x:xf numFmtId="0" fontId="0" fillId="15" borderId="0" xfId="0" applyNumberFormat="1" applyFont="1" applyFill="1" applyBorder="1"/>
    <x:xf numFmtId="0" fontId="15" fillId="15" borderId="0" xfId="0" applyNumberFormat="1" applyFont="1" applyFill="1" applyBorder="1"/>
    <x:xf numFmtId="0" fontId="15" fillId="15" borderId="0" xfId="0" applyNumberFormat="1" applyFont="1" applyFill="1" applyBorder="1" applyAlignment="1">
      <x:alignment wrapText="1"/>
    </x:xf>
    <x:xf numFmtId="0" fontId="15" fillId="15" borderId="0" xfId="0" applyNumberFormat="1" applyFont="1" applyFill="1" applyBorder="1" applyAlignment="1">
      <x:alignment vertical="top" wrapText="1"/>
    </x:xf>
    <x:xf numFmtId="0" fontId="15" fillId="16" borderId="0" xfId="0" applyNumberFormat="1" applyFont="1" applyFill="1" applyBorder="1" applyAlignment="1">
      <x:alignment vertical="top" wrapText="1"/>
    </x:xf>
    <x:xf numFmtId="0" fontId="18" fillId="16" borderId="0" xfId="0" applyNumberFormat="1" applyFont="1" applyFill="1" applyBorder="1" applyAlignment="1">
      <x:alignment vertical="top" wrapText="1"/>
    </x:xf>
    <x:xf numFmtId="0" fontId="18" fillId="16" borderId="0" xfId="0" applyNumberFormat="1" applyFont="1" applyFill="1" applyBorder="1" applyAlignment="1">
      <x:alignment vertical="center" wrapText="1"/>
    </x:xf>
    <x:xf numFmtId="0" fontId="15" fillId="17" borderId="0" xfId="0" applyNumberFormat="1" applyFont="1" applyFill="1" applyBorder="1" applyAlignment="1">
      <x:alignment vertical="top" wrapText="1"/>
    </x:xf>
    <x:xf numFmtId="0" fontId="16" fillId="17" borderId="0" xfId="0" applyNumberFormat="1" applyFont="1" applyFill="1" applyBorder="1" applyAlignment="1">
      <x:alignment vertical="top" wrapText="1"/>
    </x:xf>
    <x:xf numFmtId="0" fontId="16" fillId="17" borderId="0" xfId="0" applyNumberFormat="1" applyFont="1" applyFill="1" applyBorder="1" applyAlignment="1">
      <x:alignment vertical="center" wrapText="1"/>
    </x:xf>
    <x:xf numFmtId="0" fontId="8" fillId="16" borderId="0" xfId="0" applyNumberFormat="1" applyFont="1" applyFill="1" applyBorder="1" applyAlignment="1">
      <x:alignment vertical="top" wrapText="1"/>
    </x:xf>
    <x:xf numFmtId="0" fontId="8" fillId="16" borderId="19" xfId="0" applyNumberFormat="1" applyFont="1" applyFill="1" applyBorder="1" applyAlignment="1">
      <x:alignment vertical="top" wrapText="1"/>
    </x:xf>
    <x:xf numFmtId="0" fontId="8" fillId="16" borderId="19" xfId="0" applyNumberFormat="1" applyFont="1" applyFill="1" applyBorder="1" applyAlignment="1">
      <x:alignment vertical="center" wrapText="1"/>
    </x:xf>
    <x:xf numFmtId="0" fontId="15" fillId="15" borderId="19" xfId="0" applyNumberFormat="1" applyFont="1" applyFill="1" applyBorder="1" applyAlignment="1">
      <x:alignment vertical="top" wrapText="1"/>
    </x:xf>
    <x:xf numFmtId="0" fontId="15" fillId="18" borderId="19" xfId="0" applyNumberFormat="1" applyFont="1" applyFill="1" applyBorder="1" applyAlignment="1">
      <x:alignment vertical="top" wrapText="1"/>
    </x:xf>
    <x:xf numFmtId="0" fontId="17" fillId="18" borderId="19" xfId="0" applyNumberFormat="1" applyFont="1" applyFill="1" applyBorder="1" applyAlignment="1">
      <x:alignment vertical="top" wrapText="1"/>
    </x:xf>
    <x:xf numFmtId="0" fontId="0" fillId="16" borderId="0" xfId="0" applyNumberFormat="1" applyFont="1" applyFill="1" applyBorder="1"/>
    <x:xf numFmtId="0" fontId="8" fillId="16" borderId="0" xfId="0" applyNumberFormat="1" applyFont="1" applyFill="1" applyBorder="1"/>
    <x:xf numFmtId="0" fontId="8" fillId="16" borderId="0" xfId="0" applyNumberFormat="1" applyFont="1" applyFill="1" applyBorder="1" applyAlignment="1">
      <x:alignment vertical="center"/>
    </x:xf>
    <x:xf numFmtId="0" fontId="0" fillId="17" borderId="0" xfId="0" applyNumberFormat="1" applyFont="1" applyFill="1" applyBorder="1"/>
    <x:xf numFmtId="0" fontId="16" fillId="17" borderId="0" xfId="0" applyNumberFormat="1" applyFont="1" applyFill="1" applyBorder="1"/>
    <x:xf numFmtId="0" fontId="16" fillId="17" borderId="0" xfId="0" applyNumberFormat="1" applyFont="1" applyFill="1" applyBorder="1" applyAlignment="1">
      <x:alignment vertical="center"/>
    </x:xf>
    <x:xf numFmtId="0" fontId="8" fillId="16" borderId="19" xfId="0" applyNumberFormat="1" applyFont="1" applyFill="1" applyBorder="1"/>
    <x:xf numFmtId="0" fontId="0" fillId="15" borderId="19" xfId="0" applyNumberFormat="1" applyFont="1" applyFill="1" applyBorder="1"/>
    <x:xf numFmtId="0" fontId="0" fillId="18" borderId="19" xfId="0" applyNumberFormat="1" applyFont="1" applyFill="1" applyBorder="1"/>
    <x:xf numFmtId="0" fontId="17" fillId="18" borderId="19" xfId="0" applyNumberFormat="1" applyFont="1" applyFill="1" applyBorder="1"/>
    <x:xf numFmtId="0" fontId="17" fillId="18" borderId="20" xfId="0" applyNumberFormat="1" applyFont="1" applyFill="1" applyBorder="1"/>
    <x:xf numFmtId="0" fontId="16" fillId="17" borderId="21" xfId="0" applyNumberFormat="1" applyFont="1" applyFill="1" applyBorder="1"/>
    <x:xf numFmtId="0" fontId="16" fillId="17" borderId="22" xfId="0" applyNumberFormat="1" applyFont="1" applyFill="1" applyBorder="1"/>
    <x:xf numFmtId="0" fontId="16" fillId="17" borderId="23" xfId="0" applyNumberFormat="1" applyFont="1" applyFill="1" applyBorder="1"/>
    <x:xf numFmtId="0" fontId="16" fillId="17" borderId="24" xfId="0" applyNumberFormat="1" applyFont="1" applyFill="1" applyBorder="1"/>
    <x:xf numFmtId="0" fontId="16" fillId="17" borderId="25" xfId="0" applyNumberFormat="1" applyFont="1" applyFill="1" applyBorder="1"/>
    <x:xf numFmtId="0" fontId="16" fillId="17" borderId="26" xfId="0" applyNumberFormat="1" applyFont="1" applyFill="1" applyBorder="1"/>
    <x:xf numFmtId="0" fontId="16" fillId="17" borderId="21" xfId="0" applyNumberFormat="1" applyFont="1" applyFill="1" applyBorder="1" applyAlignment="1">
      <x:alignment wrapText="1"/>
    </x:xf>
    <x:xf numFmtId="0" fontId="16" fillId="17" borderId="22" xfId="0" applyNumberFormat="1" applyFont="1" applyFill="1" applyBorder="1" applyAlignment="1">
      <x:alignment wrapText="1"/>
    </x:xf>
    <x:xf numFmtId="0" fontId="16" fillId="17" borderId="23" xfId="0" applyNumberFormat="1" applyFont="1" applyFill="1" applyBorder="1" applyAlignment="1">
      <x:alignment wrapText="1"/>
    </x:xf>
    <x:xf numFmtId="0" fontId="16" fillId="17" borderId="24" xfId="0" applyNumberFormat="1" applyFont="1" applyFill="1" applyBorder="1" applyAlignment="1">
      <x:alignment wrapText="1"/>
    </x:xf>
    <x:xf numFmtId="0" fontId="16" fillId="17" borderId="25" xfId="0" applyNumberFormat="1" applyFont="1" applyFill="1" applyBorder="1" applyAlignment="1">
      <x:alignment wrapText="1"/>
    </x:xf>
    <x:xf numFmtId="0" fontId="16" fillId="17" borderId="26" xfId="0" applyNumberFormat="1" applyFont="1" applyFill="1" applyBorder="1" applyAlignment="1">
      <x:alignment wrapText="1"/>
    </x:xf>
    <x:xf numFmtId="0" fontId="16" fillId="17" borderId="21" xfId="0" applyNumberFormat="1" applyFont="1" applyFill="1" applyBorder="1" applyAlignment="1">
      <x:alignment vertical="center" wrapText="1"/>
    </x:xf>
    <x:xf numFmtId="0" fontId="16" fillId="17" borderId="22" xfId="0" applyNumberFormat="1" applyFont="1" applyFill="1" applyBorder="1" applyAlignment="1">
      <x:alignment vertical="center" wrapText="1"/>
    </x:xf>
    <x:xf numFmtId="0" fontId="16" fillId="17" borderId="23" xfId="0" applyNumberFormat="1" applyFont="1" applyFill="1" applyBorder="1" applyAlignment="1">
      <x:alignment vertical="center" wrapText="1"/>
    </x:xf>
    <x:xf numFmtId="0" fontId="16" fillId="17" borderId="24" xfId="0" applyNumberFormat="1" applyFont="1" applyFill="1" applyBorder="1" applyAlignment="1">
      <x:alignment vertical="center" wrapText="1"/>
    </x:xf>
    <x:xf numFmtId="0" fontId="16" fillId="17" borderId="25" xfId="0" applyNumberFormat="1" applyFont="1" applyFill="1" applyBorder="1" applyAlignment="1">
      <x:alignment vertical="center" wrapText="1"/>
    </x:xf>
    <x:xf numFmtId="0" fontId="16" fillId="17" borderId="26" xfId="0" applyNumberFormat="1" applyFont="1" applyFill="1" applyBorder="1" applyAlignment="1">
      <x:alignment vertical="center" wrapText="1"/>
    </x:xf>
    <x:xf numFmtId="0" fontId="0" fillId="19" borderId="0" xfId="0" applyNumberFormat="1" applyFont="1" applyFill="1" applyBorder="1"/>
    <x:xf numFmtId="0" fontId="5" fillId="19" borderId="0" xfId="0" applyNumberFormat="1" applyFont="1" applyFill="1" applyBorder="1"/>
    <x:xf numFmtId="0" fontId="5" fillId="19" borderId="3" xfId="0" applyNumberFormat="1" applyFont="1" applyFill="1" applyBorder="1"/>
    <x:xf numFmtId="0" fontId="5" fillId="19" borderId="3" xfId="0" applyNumberFormat="1" applyFont="1" applyFill="1" applyBorder="1" applyAlignment="1">
      <x:alignment wrapText="1"/>
    </x:xf>
    <x:xf numFmtId="0" fontId="5" fillId="19" borderId="3" xfId="0" applyNumberFormat="1" applyFont="1" applyFill="1" applyBorder="1" applyAlignment="1">
      <x:alignment horizontal="left" wrapText="1"/>
    </x:xf>
    <x:xf numFmtId="0" fontId="5" fillId="19" borderId="3" xfId="0" applyNumberFormat="1" applyFont="1" applyFill="1" applyBorder="1" applyAlignment="1">
      <x:alignment horizontal="left" vertical="top" wrapText="1"/>
    </x:xf>
    <x:xf numFmtId="0" fontId="1" fillId="19" borderId="0" xfId="0" applyNumberFormat="1" applyFont="1" applyFill="1" applyBorder="1"/>
    <x:xf numFmtId="0" fontId="1" fillId="19" borderId="3" xfId="0" applyNumberFormat="1" applyFont="1" applyFill="1" applyBorder="1"/>
    <x:xf numFmtId="0" fontId="1" fillId="19" borderId="3" xfId="0" applyNumberFormat="1" applyFont="1" applyFill="1" applyBorder="1" applyAlignment="1">
      <x:alignment wrapText="1"/>
    </x:xf>
    <x:xf numFmtId="0" fontId="1" fillId="19" borderId="3" xfId="0" applyNumberFormat="1" applyFont="1" applyFill="1" applyBorder="1" applyAlignment="1">
      <x:alignment horizontal="left" wrapText="1"/>
    </x:xf>
    <x:xf numFmtId="0" fontId="1" fillId="19" borderId="3" xfId="0" applyNumberFormat="1" applyFont="1" applyFill="1" applyBorder="1" applyAlignment="1">
      <x:alignment horizontal="left" vertical="top" wrapText="1"/>
    </x:xf>
    <x:xf numFmtId="0" fontId="0" fillId="20" borderId="0" xfId="0" applyNumberFormat="1" applyFont="1" applyFill="1" applyBorder="1"/>
    <x:xf numFmtId="0" fontId="5" fillId="20" borderId="0" xfId="0" applyNumberFormat="1" applyFont="1" applyFill="1" applyBorder="1"/>
    <x:xf numFmtId="0" fontId="5" fillId="20" borderId="3" xfId="0" applyNumberFormat="1" applyFont="1" applyFill="1" applyBorder="1"/>
    <x:xf numFmtId="0" fontId="5" fillId="20" borderId="3" xfId="0" applyNumberFormat="1" applyFont="1" applyFill="1" applyBorder="1" applyAlignment="1">
      <x:alignment wrapText="1"/>
    </x:xf>
    <x:xf numFmtId="0" fontId="5" fillId="20" borderId="3" xfId="0" applyNumberFormat="1" applyFont="1" applyFill="1" applyBorder="1" applyAlignment="1">
      <x:alignment horizontal="left" wrapText="1"/>
    </x:xf>
    <x:xf numFmtId="0" fontId="5" fillId="20" borderId="3" xfId="0" applyNumberFormat="1" applyFont="1" applyFill="1" applyBorder="1" applyAlignment="1">
      <x:alignment horizontal="left" vertical="top" wrapText="1"/>
    </x:xf>
    <x:xf numFmtId="0" fontId="1" fillId="20" borderId="0" xfId="0" applyNumberFormat="1" applyFont="1" applyFill="1" applyBorder="1"/>
    <x:xf numFmtId="0" fontId="1" fillId="20" borderId="3" xfId="0" applyNumberFormat="1" applyFont="1" applyFill="1" applyBorder="1"/>
    <x:xf numFmtId="0" fontId="1" fillId="20" borderId="3" xfId="0" applyNumberFormat="1" applyFont="1" applyFill="1" applyBorder="1" applyAlignment="1">
      <x:alignment wrapText="1"/>
    </x:xf>
    <x:xf numFmtId="0" fontId="1" fillId="20" borderId="3" xfId="0" applyNumberFormat="1" applyFont="1" applyFill="1" applyBorder="1" applyAlignment="1">
      <x:alignment horizontal="left" wrapText="1"/>
    </x:xf>
    <x:xf numFmtId="0" fontId="1" fillId="20" borderId="3" xfId="0" applyNumberFormat="1" applyFont="1" applyFill="1" applyBorder="1" applyAlignment="1">
      <x:alignment horizontal="left" vertical="top" wrapText="1"/>
    </x:xf>
    <x:xf numFmtId="0" fontId="0" fillId="21" borderId="0" xfId="0" applyNumberFormat="1" applyFont="1" applyFill="1" applyBorder="1"/>
    <x:xf numFmtId="0" fontId="17" fillId="21" borderId="0" xfId="0" applyNumberFormat="1" applyFont="1" applyFill="1" applyBorder="1"/>
    <x:xf numFmtId="0" fontId="17" fillId="21" borderId="19" xfId="0" applyNumberFormat="1" applyFont="1" applyFill="1" applyBorder="1"/>
    <x:xf numFmtId="0" fontId="17" fillId="21" borderId="19" xfId="0" applyNumberFormat="1" applyFont="1" applyFill="1" applyBorder="1" applyAlignment="1">
      <x:alignment wrapText="1"/>
    </x:xf>
    <x:xf numFmtId="0" fontId="17" fillId="21" borderId="19" xfId="0" applyNumberFormat="1" applyFont="1" applyFill="1" applyBorder="1" applyAlignment="1">
      <x:alignment vertical="top" wrapText="1"/>
    </x:xf>
    <x:xf numFmtId="0" fontId="0" fillId="22" borderId="0" xfId="0" applyNumberFormat="1" applyFont="1" applyFill="1" applyBorder="1"/>
    <x:xf numFmtId="0" fontId="15" fillId="22" borderId="0" xfId="0" applyNumberFormat="1" applyFont="1" applyFill="1" applyBorder="1"/>
    <x:xf numFmtId="0" fontId="15" fillId="22" borderId="19" xfId="0" applyNumberFormat="1" applyFont="1" applyFill="1" applyBorder="1"/>
    <x:xf numFmtId="0" fontId="15" fillId="22" borderId="19" xfId="0" applyNumberFormat="1" applyFont="1" applyFill="1" applyBorder="1" applyAlignment="1">
      <x:alignment wrapText="1"/>
    </x:xf>
    <x:xf numFmtId="0" fontId="15" fillId="22" borderId="19" xfId="0" applyNumberFormat="1" applyFont="1" applyFill="1" applyBorder="1" applyAlignment="1">
      <x:alignment vertical="top" wrapText="1"/>
    </x:xf>
    <x:xf numFmtId="0" fontId="0" fillId="0" borderId="0" xfId="0" applyNumberFormat="1" applyFont="1" applyFill="1" applyBorder="1" applyAlignment="1">
      <x:alignment wrapText="1"/>
    </x:xf>
    <x:xf numFmtId="0" fontId="14" fillId="8" borderId="0" xfId="0" applyNumberFormat="1" applyFont="1" applyFill="1" applyBorder="1" applyAlignment="1">
      <x:alignment vertical="top" wrapText="1"/>
    </x:xf>
  </x:cellXfs>
  <x:cellStyles count="1">
    <x:cellStyle name="Normal" xfId="0"/>
  </x:cellStyles>
  <x:dxfs count="160">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0006"/>
      </x:font>
      <x:fill>
        <x:patternFill>
          <x:bgColor rgb="FFF4CCCC"/>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0006"/>
      </x:font>
      <x:fill>
        <x:patternFill>
          <x:bgColor rgb="FFF4CCCC"/>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0006"/>
      </x:font>
      <x:fill>
        <x:patternFill>
          <x:bgColor rgb="FFF4CCCC"/>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9C0006"/>
      </x:font>
      <x:fill>
        <x:patternFill>
          <x:bgColor rgb="FFF4CCCC"/>
        </x:patternFill>
      </x:fill>
    </x:dxf>
    <x:dxf>
      <x:font>
        <x:b/>
        <x:color rgb="FFB91C1C"/>
      </x:font>
      <x:fill>
        <x:patternFill>
          <x:bgColor rgb="FFFCE8E6"/>
        </x:patternFill>
      </x:fill>
    </x:dxf>
    <x:dxf>
      <x:font>
        <x:b/>
        <x:color rgb="FFB91C1C"/>
      </x:font>
      <x:fill>
        <x:patternFill>
          <x:bgColor rgb="FFFCE8E6"/>
        </x:patternFill>
      </x:fill>
    </x:dxf>
    <x:dxf>
      <x:font>
        <x:b/>
        <x:color rgb="FFB91C1C"/>
      </x:font>
      <x:fill>
        <x:patternFill>
          <x:bgColor rgb="FFFCE8E6"/>
        </x:patternFill>
      </x:fill>
    </x:dxf>
    <x:dxf>
      <x:font>
        <x:b/>
        <x:color rgb="FF9C5700"/>
      </x:font>
      <x:fill>
        <x:patternFill>
          <x:bgColor rgb="FFFFF2CC"/>
        </x:patternFill>
      </x:fill>
    </x:dxf>
    <x:dxf>
      <x:font>
        <x:b/>
        <x:color rgb="FFB91C1C"/>
      </x:font>
      <x:fill>
        <x:patternFill>
          <x:bgColor rgb="FFFCE8E6"/>
        </x:patternFill>
      </x:fill>
    </x:dxf>
    <x:dxf>
      <x:font>
        <x:b/>
        <x:color rgb="FFB91C1C"/>
      </x:font>
      <x:fill>
        <x:patternFill>
          <x:bgColor rgb="FFFCE8E6"/>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
      <x:font>
        <x:color rgb="FF9C5700"/>
      </x:font>
      <x:fill>
        <x:patternFill>
          <x:bgColor rgb="FFFFF2CC"/>
        </x:patternFill>
      </x:fill>
    </x:dxf>
    <x:dxf>
      <x:font>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5ff28e0fe0426f" /><Relationship Type="http://schemas.openxmlformats.org/officeDocument/2006/relationships/theme" Target="/xl/theme/theme1.xml" Id="Rf83b7f294ef748db" /><Relationship Type="http://schemas.openxmlformats.org/officeDocument/2006/relationships/sharedStrings" Target="/xl/sharedStrings.xml" Id="R16938b0936fa4747" /><Relationship Type="http://schemas.openxmlformats.org/officeDocument/2006/relationships/worksheet" Target="/xl/worksheets/sheet1.xml" Id="R1f8c7104227e4106" /><Relationship Type="http://schemas.openxmlformats.org/officeDocument/2006/relationships/worksheet" Target="/xl/worksheets/sheet2.xml" Id="Re03f9a36b7034334" /><Relationship Type="http://schemas.openxmlformats.org/officeDocument/2006/relationships/worksheet" Target="/xl/worksheets/sheet3.xml" Id="Rf22ead4320d645e3" /><Relationship Type="http://schemas.openxmlformats.org/officeDocument/2006/relationships/worksheet" Target="/xl/worksheets/sheet4.xml" Id="R986f770843c24f00" /><Relationship Type="http://schemas.openxmlformats.org/officeDocument/2006/relationships/worksheet" Target="/xl/worksheets/sheet5.xml" Id="R8d799919fc7a44cf" /><Relationship Type="http://schemas.openxmlformats.org/officeDocument/2006/relationships/worksheet" Target="/xl/worksheets/sheet6.xml" Id="R0f101164a4db4664" /><Relationship Type="http://schemas.openxmlformats.org/officeDocument/2006/relationships/worksheet" Target="/xl/worksheets/sheet7.xml" Id="R4b4a59202ec1463c" /><Relationship Type="http://schemas.openxmlformats.org/officeDocument/2006/relationships/worksheet" Target="/xl/worksheets/sheet8.xml" Id="Rde1ed2903d8347b4" /><Relationship Type="http://schemas.openxmlformats.org/officeDocument/2006/relationships/worksheet" Target="/xl/worksheets/sheet9.xml" Id="R3480ce8fe2b14981" /><Relationship Type="http://schemas.openxmlformats.org/officeDocument/2006/relationships/worksheet" Target="/xl/worksheets/sheet10.xml" Id="R1600abdc7b4b419c" /><Relationship Type="http://schemas.openxmlformats.org/officeDocument/2006/relationships/worksheet" Target="/xl/worksheets/sheet11.xml" Id="R7e07f03f17da479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2" width="12" customWidth="1"/>
    <x:col min="3" max="3" width="16" customWidth="1"/>
    <x:col min="4" max="4" width="20" customWidth="1"/>
    <x:col min="5" max="6" width="10" customWidth="1"/>
    <x:col min="7" max="7" width="18" customWidth="1"/>
    <x:col min="8" max="8" width="28" customWidth="1"/>
    <x:col min="9" max="9" width="38" customWidth="1"/>
    <x:col min="10" max="11" width="12" customWidth="1"/>
    <x:col min="12" max="12" width="22" customWidth="1"/>
    <x:col min="13" max="13" width="18" customWidth="1"/>
    <x:col min="14" max="14" width="38" customWidth="1"/>
    <x:col min="15" max="16" width="12" customWidth="1"/>
    <x:col min="17" max="17" width="36" customWidth="1"/>
  </x:cols>
  <x:sheetData>
    <x:row r="1" ht="24" customHeight="1">
      <x:c r="A1" s="53" t="s">
        <x:v>0</x:v>
      </x:c>
      <x:c r="B1" s="54"/>
      <x:c r="C1" s="54"/>
      <x:c r="D1" s="54"/>
      <x:c r="E1" s="54"/>
      <x:c r="F1" s="54"/>
      <x:c r="G1" s="54"/>
      <x:c r="H1" s="54"/>
      <x:c r="I1" s="54"/>
      <x:c r="J1" s="54"/>
      <x:c r="K1" s="54"/>
      <x:c r="L1" s="54"/>
      <x:c r="M1" s="54"/>
      <x:c r="N1" s="54"/>
      <x:c r="O1" s="54"/>
      <x:c r="P1" s="54"/>
      <x:c r="Q1" s="55"/>
    </x:row>
    <x:row r="2" ht="27.950000762939453" customHeight="1">
      <x:c r="A2" s="56" t="s">
        <x:v>1</x:v>
      </x:c>
      <x:c r="B2" s="57"/>
      <x:c r="C2" s="57"/>
      <x:c r="D2" s="57"/>
      <x:c r="E2" s="57"/>
      <x:c r="F2" s="57"/>
      <x:c r="G2" s="57"/>
      <x:c r="H2" s="57"/>
      <x:c r="I2" s="57"/>
      <x:c r="J2" s="57"/>
      <x:c r="K2" s="57"/>
      <x:c r="L2" s="57"/>
      <x:c r="M2" s="57"/>
      <x:c r="N2" s="57"/>
      <x:c r="O2" s="57"/>
      <x:c r="P2" s="57"/>
      <x:c r="Q2" s="58"/>
    </x:row>
    <x:row r="3" ht="8.100000381469727" customHeight="1">
      <x:c r="A3" s="23"/>
      <x:c r="B3" s="24"/>
      <x:c r="C3" s="24"/>
      <x:c r="D3" s="24"/>
      <x:c r="E3" s="24"/>
      <x:c r="F3" s="24"/>
      <x:c r="G3" s="24"/>
      <x:c r="H3" s="24"/>
      <x:c r="I3" s="24"/>
      <x:c r="J3" s="24"/>
      <x:c r="K3" s="24"/>
      <x:c r="L3" s="24"/>
      <x:c r="M3" s="24"/>
      <x:c r="N3" s="24"/>
      <x:c r="O3" s="24"/>
      <x:c r="P3" s="24"/>
      <x:c r="Q3" s="25"/>
    </x:row>
    <x:row r="4" ht="30" customHeight="1">
      <x:c r="A4" s="26" t="s">
        <x:v>2</x:v>
      </x:c>
      <x:c r="B4" s="26" t="s">
        <x:v>3</x:v>
      </x:c>
      <x:c r="C4" s="26" t="s">
        <x:v>4</x:v>
      </x:c>
      <x:c r="D4" s="26" t="s">
        <x:v>5</x:v>
      </x:c>
      <x:c r="E4" s="26" t="s">
        <x:v>6</x:v>
      </x:c>
      <x:c r="F4" s="26" t="s">
        <x:v>7</x:v>
      </x:c>
      <x:c r="G4" s="26" t="s">
        <x:v>8</x:v>
      </x:c>
      <x:c r="H4" s="26" t="s">
        <x:v>9</x:v>
      </x:c>
      <x:c r="I4" s="26" t="s">
        <x:v>10</x:v>
      </x:c>
      <x:c r="J4" s="26" t="s">
        <x:v>11</x:v>
      </x:c>
      <x:c r="K4" s="26" t="s">
        <x:v>12</x:v>
      </x:c>
      <x:c r="L4" s="26" t="s">
        <x:v>13</x:v>
      </x:c>
      <x:c r="M4" s="26" t="s">
        <x:v>14</x:v>
      </x:c>
      <x:c r="N4" s="26" t="s">
        <x:v>15</x:v>
      </x:c>
      <x:c r="O4" s="26" t="s">
        <x:v>16</x:v>
      </x:c>
      <x:c r="P4" s="26" t="s">
        <x:v>17</x:v>
      </x:c>
      <x:c r="Q4" s="26" t="s">
        <x:v>18</x:v>
      </x:c>
    </x:row>
    <x:row r="5" ht="63.95000076293945" customHeight="1">
      <x:c r="A5" s="27" t="s">
        <x:v>19</x:v>
      </x:c>
      <x:c r="B5" s="28" t="s">
        <x:v>20</x:v>
      </x:c>
      <x:c r="C5" s="28" t="s">
        <x:v>21</x:v>
      </x:c>
      <x:c r="D5" s="28" t="s">
        <x:v>22</x:v>
      </x:c>
      <x:c r="E5" s="28">
        <x:v>1</x:v>
      </x:c>
      <x:c r="F5" s="28">
        <x:v>3</x:v>
      </x:c>
      <x:c r="G5" s="28" t="s">
        <x:v>23</x:v>
      </x:c>
      <x:c r="H5" s="28" t="s">
        <x:v>24</x:v>
      </x:c>
      <x:c r="I5" s="28" t="s">
        <x:v>25</x:v>
      </x:c>
      <x:c r="J5" s="28">
        <x:v>0</x:v>
      </x:c>
      <x:c r="K5" s="28">
        <x:v>0</x:v>
      </x:c>
      <x:c r="L5" s="28" t="s">
        <x:v>26</x:v>
      </x:c>
      <x:c r="M5" s="28" t="s">
        <x:v>23</x:v>
      </x:c>
      <x:c r="N5" s="28" t="s">
        <x:v>27</x:v>
      </x:c>
      <x:c r="O5" s="28">
        <x:v>0</x:v>
      </x:c>
      <x:c r="P5" s="28">
        <x:v>0</x:v>
      </x:c>
      <x:c r="Q5" s="29" t="s">
        <x:v>28</x:v>
      </x:c>
    </x:row>
    <x:row r="6" ht="63.95000076293945" customHeight="1">
      <x:c r="A6" s="30" t="s">
        <x:v>29</x:v>
      </x:c>
      <x:c r="B6" s="31" t="s">
        <x:v>20</x:v>
      </x:c>
      <x:c r="C6" s="31" t="s">
        <x:v>21</x:v>
      </x:c>
      <x:c r="D6" s="31" t="s">
        <x:v>30</x:v>
      </x:c>
      <x:c r="E6" s="31">
        <x:v>1</x:v>
      </x:c>
      <x:c r="F6" s="31">
        <x:v>3</x:v>
      </x:c>
      <x:c r="G6" s="31" t="s">
        <x:v>23</x:v>
      </x:c>
      <x:c r="H6" s="31" t="s">
        <x:v>31</x:v>
      </x:c>
      <x:c r="I6" s="31" t="s">
        <x:v>32</x:v>
      </x:c>
      <x:c r="J6" s="31">
        <x:v>0</x:v>
      </x:c>
      <x:c r="K6" s="31">
        <x:v>0</x:v>
      </x:c>
      <x:c r="L6" s="31" t="s">
        <x:v>33</x:v>
      </x:c>
      <x:c r="M6" s="31" t="s">
        <x:v>23</x:v>
      </x:c>
      <x:c r="N6" s="31" t="s">
        <x:v>34</x:v>
      </x:c>
      <x:c r="O6" s="31">
        <x:v>0</x:v>
      </x:c>
      <x:c r="P6" s="31">
        <x:v>0</x:v>
      </x:c>
      <x:c r="Q6" s="1" t="s">
        <x:v>28</x:v>
      </x:c>
    </x:row>
    <x:row r="7" ht="63.95000076293945" customHeight="1">
      <x:c r="A7" s="27" t="s">
        <x:v>35</x:v>
      </x:c>
      <x:c r="B7" s="28" t="s">
        <x:v>20</x:v>
      </x:c>
      <x:c r="C7" s="28" t="s">
        <x:v>21</x:v>
      </x:c>
      <x:c r="D7" s="28" t="s">
        <x:v>36</x:v>
      </x:c>
      <x:c r="E7" s="28">
        <x:v>1</x:v>
      </x:c>
      <x:c r="F7" s="28">
        <x:v>3</x:v>
      </x:c>
      <x:c r="G7" s="28" t="s">
        <x:v>23</x:v>
      </x:c>
      <x:c r="H7" s="28" t="s">
        <x:v>37</x:v>
      </x:c>
      <x:c r="I7" s="28" t="s">
        <x:v>38</x:v>
      </x:c>
      <x:c r="J7" s="28">
        <x:v>0</x:v>
      </x:c>
      <x:c r="K7" s="28">
        <x:v>0</x:v>
      </x:c>
      <x:c r="L7" s="28" t="s">
        <x:v>39</x:v>
      </x:c>
      <x:c r="M7" s="28" t="s">
        <x:v>23</x:v>
      </x:c>
      <x:c r="N7" s="28" t="s">
        <x:v>40</x:v>
      </x:c>
      <x:c r="O7" s="28">
        <x:v>0</x:v>
      </x:c>
      <x:c r="P7" s="28">
        <x:v>0</x:v>
      </x:c>
      <x:c r="Q7" s="29" t="s">
        <x:v>28</x:v>
      </x:c>
    </x:row>
    <x:row r="8" ht="63.95000076293945" customHeight="1">
      <x:c r="A8" s="30" t="s">
        <x:v>41</x:v>
      </x:c>
      <x:c r="B8" s="31" t="s">
        <x:v>20</x:v>
      </x:c>
      <x:c r="C8" s="31" t="s">
        <x:v>21</x:v>
      </x:c>
      <x:c r="D8" s="31" t="s">
        <x:v>42</x:v>
      </x:c>
      <x:c r="E8" s="31">
        <x:v>1</x:v>
      </x:c>
      <x:c r="F8" s="31">
        <x:v>3</x:v>
      </x:c>
      <x:c r="G8" s="31" t="s">
        <x:v>23</x:v>
      </x:c>
      <x:c r="H8" s="31" t="s">
        <x:v>43</x:v>
      </x:c>
      <x:c r="I8" s="31" t="s">
        <x:v>44</x:v>
      </x:c>
      <x:c r="J8" s="31">
        <x:v>0</x:v>
      </x:c>
      <x:c r="K8" s="31">
        <x:v>0</x:v>
      </x:c>
      <x:c r="L8" s="31" t="s">
        <x:v>45</x:v>
      </x:c>
      <x:c r="M8" s="31" t="s">
        <x:v>23</x:v>
      </x:c>
      <x:c r="N8" s="31" t="s">
        <x:v>46</x:v>
      </x:c>
      <x:c r="O8" s="31">
        <x:v>0</x:v>
      </x:c>
      <x:c r="P8" s="31">
        <x:v>0</x:v>
      </x:c>
      <x:c r="Q8" s="1" t="s">
        <x:v>28</x:v>
      </x:c>
    </x:row>
    <x:row r="9" ht="63.95000076293945" customHeight="1">
      <x:c r="A9" s="27" t="s">
        <x:v>47</x:v>
      </x:c>
      <x:c r="B9" s="28" t="s">
        <x:v>20</x:v>
      </x:c>
      <x:c r="C9" s="28" t="s">
        <x:v>48</x:v>
      </x:c>
      <x:c r="D9" s="28" t="s">
        <x:v>49</x:v>
      </x:c>
      <x:c r="E9" s="28">
        <x:v>1</x:v>
      </x:c>
      <x:c r="F9" s="28">
        <x:v>4</x:v>
      </x:c>
      <x:c r="G9" s="28" t="s">
        <x:v>50</x:v>
      </x:c>
      <x:c r="H9" s="28"/>
      <x:c r="I9" s="28" t="s">
        <x:v>51</x:v>
      </x:c>
      <x:c r="J9" s="28">
        <x:v>5</x:v>
      </x:c>
      <x:c r="K9" s="28">
        <x:v>0</x:v>
      </x:c>
      <x:c r="L9" s="28" t="s">
        <x:v>52</x:v>
      </x:c>
      <x:c r="M9" s="28" t="s">
        <x:v>53</x:v>
      </x:c>
      <x:c r="N9" s="28" t="s">
        <x:v>54</x:v>
      </x:c>
      <x:c r="O9" s="28">
        <x:v>10</x:v>
      </x:c>
      <x:c r="P9" s="28">
        <x:v>0</x:v>
      </x:c>
      <x:c r="Q9" s="29" t="str">
        <x:v>Updated Housing scoring: basic rewards Housing clusters. Upgraded adds stronger cluster Population and Travel-adjacent Renown.</x:v>
      </x:c>
    </x:row>
    <x:row r="10" ht="63.95000076293945" customHeight="1">
      <x:c r="A10" s="30" t="s">
        <x:v>55</x:v>
      </x:c>
      <x:c r="B10" s="31" t="s">
        <x:v>20</x:v>
      </x:c>
      <x:c r="C10" s="31" t="s">
        <x:v>48</x:v>
      </x:c>
      <x:c r="D10" s="31" t="s">
        <x:v>56</x:v>
      </x:c>
      <x:c r="E10" s="31">
        <x:v>1</x:v>
      </x:c>
      <x:c r="F10" s="31">
        <x:v>3</x:v>
      </x:c>
      <x:c r="G10" s="31" t="s">
        <x:v>57</x:v>
      </x:c>
      <x:c r="H10" s="31" t="s">
        <x:v>58</x:v>
      </x:c>
      <x:c r="I10" s="31" t="s">
        <x:v>59</x:v>
      </x:c>
      <x:c r="J10" s="31">
        <x:v>10</x:v>
      </x:c>
      <x:c r="K10" s="31">
        <x:v>0</x:v>
      </x:c>
      <x:c r="L10" s="31" t="s">
        <x:v>60</x:v>
      </x:c>
      <x:c r="M10" s="31" t="s">
        <x:v>61</x:v>
      </x:c>
      <x:c r="N10" s="31" t="s">
        <x:v>62</x:v>
      </x:c>
      <x:c r="O10" s="31">
        <x:v>15</x:v>
      </x:c>
      <x:c r="P10" s="31">
        <x:v>0</x:v>
      </x:c>
      <x:c r="Q10" s="1" t="str">
        <x:v>Updated Housing scoring: basic rewards Housing clusters. Upgraded adds stronger cluster Population and Travel-adjacent Renown.</x:v>
      </x:c>
    </x:row>
    <x:row r="11" ht="63.95000076293945" customHeight="1">
      <x:c r="A11" s="27" t="s">
        <x:v>63</x:v>
      </x:c>
      <x:c r="B11" s="28" t="s">
        <x:v>20</x:v>
      </x:c>
      <x:c r="C11" s="28" t="s">
        <x:v>48</x:v>
      </x:c>
      <x:c r="D11" s="28" t="s">
        <x:v>64</x:v>
      </x:c>
      <x:c r="E11" s="28">
        <x:v>1</x:v>
      </x:c>
      <x:c r="F11" s="28">
        <x:v>2</x:v>
      </x:c>
      <x:c r="G11" s="28" t="s">
        <x:v>65</x:v>
      </x:c>
      <x:c r="H11" s="28" t="s">
        <x:v>58</x:v>
      </x:c>
      <x:c r="I11" s="28" t="s">
        <x:v>66</x:v>
      </x:c>
      <x:c r="J11" s="28">
        <x:v>15</x:v>
      </x:c>
      <x:c r="K11" s="28">
        <x:v>0</x:v>
      </x:c>
      <x:c r="L11" s="28" t="s">
        <x:v>67</x:v>
      </x:c>
      <x:c r="M11" s="28" t="s">
        <x:v>65</x:v>
      </x:c>
      <x:c r="N11" s="28" t="s">
        <x:v>68</x:v>
      </x:c>
      <x:c r="O11" s="28">
        <x:v>20</x:v>
      </x:c>
      <x:c r="P11" s="28">
        <x:v>0</x:v>
      </x:c>
      <x:c r="Q11" s="29" t="str">
        <x:v>Updated Housing scoring: basic rewards Housing clusters. Upgraded adds stronger cluster Population and Travel-adjacent Renown.</x:v>
      </x:c>
    </x:row>
    <x:row r="12" ht="63.95000076293945" customHeight="1">
      <x:c r="A12" s="30" t="s">
        <x:v>69</x:v>
      </x:c>
      <x:c r="B12" s="31" t="s">
        <x:v>20</x:v>
      </x:c>
      <x:c r="C12" s="31" t="s">
        <x:v>48</x:v>
      </x:c>
      <x:c r="D12" s="31" t="s">
        <x:v>70</x:v>
      </x:c>
      <x:c r="E12" s="31">
        <x:v>1</x:v>
      </x:c>
      <x:c r="F12" s="31">
        <x:v>2</x:v>
      </x:c>
      <x:c r="G12" s="31" t="s">
        <x:v>71</x:v>
      </x:c>
      <x:c r="H12" s="31" t="s">
        <x:v>72</x:v>
      </x:c>
      <x:c r="I12" s="31" t="s">
        <x:v>73</x:v>
      </x:c>
      <x:c r="J12" s="31">
        <x:v>10</x:v>
      </x:c>
      <x:c r="K12" s="31">
        <x:v>5</x:v>
      </x:c>
      <x:c r="L12" s="31" t="s">
        <x:v>74</x:v>
      </x:c>
      <x:c r="M12" s="31" t="s">
        <x:v>75</x:v>
      </x:c>
      <x:c r="N12" s="31" t="s">
        <x:v>76</x:v>
      </x:c>
      <x:c r="O12" s="31">
        <x:v>15</x:v>
      </x:c>
      <x:c r="P12" s="31">
        <x:v>10</x:v>
      </x:c>
      <x:c r="Q12" s="1" t="s">
        <x:v>77</x:v>
      </x:c>
    </x:row>
    <x:row r="13" ht="63.95000076293945" customHeight="1">
      <x:c r="A13" s="27" t="s">
        <x:v>78</x:v>
      </x:c>
      <x:c r="B13" s="28" t="s">
        <x:v>20</x:v>
      </x:c>
      <x:c r="C13" s="28" t="s">
        <x:v>79</x:v>
      </x:c>
      <x:c r="D13" s="28" t="s">
        <x:v>80</x:v>
      </x:c>
      <x:c r="E13" s="28">
        <x:v>1</x:v>
      </x:c>
      <x:c r="F13" s="28">
        <x:v>2</x:v>
      </x:c>
      <x:c r="G13" s="28" t="s">
        <x:v>81</x:v>
      </x:c>
      <x:c r="H13" s="28" t="s">
        <x:v>72</x:v>
      </x:c>
      <x:c r="I13" s="28" t="s">
        <x:v>82</x:v>
      </x:c>
      <x:c r="J13" s="28">
        <x:v>0</x:v>
      </x:c>
      <x:c r="K13" s="28">
        <x:v>5</x:v>
      </x:c>
      <x:c r="L13" s="28" t="s">
        <x:v>83</x:v>
      </x:c>
      <x:c r="M13" s="28" t="s">
        <x:v>84</x:v>
      </x:c>
      <x:c r="N13" s="28" t="s">
        <x:v>85</x:v>
      </x:c>
      <x:c r="O13" s="28">
        <x:v>0</x:v>
      </x:c>
      <x:c r="P13" s="28">
        <x:v>10</x:v>
      </x:c>
      <x:c r="Q13" s="29" t="str">
        <x:v>Cost reduced. Recovery model updated.</x:v>
      </x:c>
    </x:row>
    <x:row r="14" ht="63.95000076293945" customHeight="1">
      <x:c r="A14" s="30" t="s">
        <x:v>86</x:v>
      </x:c>
      <x:c r="B14" s="31" t="s">
        <x:v>20</x:v>
      </x:c>
      <x:c r="C14" s="31" t="s">
        <x:v>79</x:v>
      </x:c>
      <x:c r="D14" s="31" t="s">
        <x:v>87</x:v>
      </x:c>
      <x:c r="E14" s="31">
        <x:v>1</x:v>
      </x:c>
      <x:c r="F14" s="31">
        <x:v>2</x:v>
      </x:c>
      <x:c r="G14" s="31" t="s">
        <x:v>88</x:v>
      </x:c>
      <x:c r="H14" s="31"/>
      <x:c r="I14" s="31" t="s">
        <x:v>82</x:v>
      </x:c>
      <x:c r="J14" s="31">
        <x:v>5</x:v>
      </x:c>
      <x:c r="K14" s="31">
        <x:v>0</x:v>
      </x:c>
      <x:c r="L14" s="31" t="s">
        <x:v>89</x:v>
      </x:c>
      <x:c r="M14" s="31" t="s">
        <x:v>90</x:v>
      </x:c>
      <x:c r="N14" s="31" t="s">
        <x:v>85</x:v>
      </x:c>
      <x:c r="O14" s="31">
        <x:v>5</x:v>
      </x:c>
      <x:c r="P14" s="31">
        <x:v>5</x:v>
      </x:c>
      <x:c r="Q14" s="1" t="s">
        <x:v>91</x:v>
      </x:c>
    </x:row>
    <x:row r="15" ht="63.95000076293945" customHeight="1">
      <x:c r="A15" s="27" t="s">
        <x:v>92</x:v>
      </x:c>
      <x:c r="B15" s="28" t="s">
        <x:v>20</x:v>
      </x:c>
      <x:c r="C15" s="28" t="s">
        <x:v>93</x:v>
      </x:c>
      <x:c r="D15" s="28" t="s">
        <x:v>94</x:v>
      </x:c>
      <x:c r="E15" s="28">
        <x:v>1</x:v>
      </x:c>
      <x:c r="F15" s="28">
        <x:v>2</x:v>
      </x:c>
      <x:c r="G15" s="28" t="s">
        <x:v>95</x:v>
      </x:c>
      <x:c r="H15" s="28" t="s">
        <x:v>96</x:v>
      </x:c>
      <x:c r="I15" s="28" t="s">
        <x:v>82</x:v>
      </x:c>
      <x:c r="J15" s="28">
        <x:v>0</x:v>
      </x:c>
      <x:c r="K15" s="28">
        <x:v>0</x:v>
      </x:c>
      <x:c r="L15" s="28" t="s">
        <x:v>97</x:v>
      </x:c>
      <x:c r="M15" s="28" t="s">
        <x:v>98</x:v>
      </x:c>
      <x:c r="N15" s="28" t="s">
        <x:v>85</x:v>
      </x:c>
      <x:c r="O15" s="28">
        <x:v>5</x:v>
      </x:c>
      <x:c r="P15" s="28">
        <x:v>5</x:v>
      </x:c>
      <x:c r="Q15" s="29" t="s">
        <x:v>99</x:v>
      </x:c>
    </x:row>
    <x:row r="16" ht="63.95000076293945" customHeight="1">
      <x:c r="A16" s="30" t="s">
        <x:v>100</x:v>
      </x:c>
      <x:c r="B16" s="31" t="s">
        <x:v>20</x:v>
      </x:c>
      <x:c r="C16" s="31" t="s">
        <x:v>93</x:v>
      </x:c>
      <x:c r="D16" s="31" t="s">
        <x:v>101</x:v>
      </x:c>
      <x:c r="E16" s="31">
        <x:v>1</x:v>
      </x:c>
      <x:c r="F16" s="31">
        <x:v>2</x:v>
      </x:c>
      <x:c r="G16" s="31" t="s">
        <x:v>102</x:v>
      </x:c>
      <x:c r="H16" s="31"/>
      <x:c r="I16" s="31" t="s">
        <x:v>82</x:v>
      </x:c>
      <x:c r="J16" s="31">
        <x:v>0</x:v>
      </x:c>
      <x:c r="K16" s="31">
        <x:v>0</x:v>
      </x:c>
      <x:c r="L16" s="31" t="s">
        <x:v>103</x:v>
      </x:c>
      <x:c r="M16" s="31" t="s">
        <x:v>104</x:v>
      </x:c>
      <x:c r="N16" s="31" t="s">
        <x:v>105</x:v>
      </x:c>
      <x:c r="O16" s="31">
        <x:v>0</x:v>
      </x:c>
      <x:c r="P16" s="31">
        <x:v>10</x:v>
      </x:c>
      <x:c r="Q16" s="1" t="s">
        <x:v>106</x:v>
      </x:c>
    </x:row>
    <x:row r="17" ht="63.95000076293945" customHeight="1">
      <x:c r="A17" s="27" t="s">
        <x:v>107</x:v>
      </x:c>
      <x:c r="B17" s="28" t="s">
        <x:v>20</x:v>
      </x:c>
      <x:c r="C17" s="28" t="s">
        <x:v>108</x:v>
      </x:c>
      <x:c r="D17" s="28" t="s">
        <x:v>109</x:v>
      </x:c>
      <x:c r="E17" s="28">
        <x:v>1</x:v>
      </x:c>
      <x:c r="F17" s="28">
        <x:v>2</x:v>
      </x:c>
      <x:c r="G17" s="28" t="s">
        <x:v>110</x:v>
      </x:c>
      <x:c r="H17" s="28" t="s">
        <x:v>72</x:v>
      </x:c>
      <x:c r="I17" s="28" t="s">
        <x:v>111</x:v>
      </x:c>
      <x:c r="J17" s="28">
        <x:v>0</x:v>
      </x:c>
      <x:c r="K17" s="28">
        <x:v>5</x:v>
      </x:c>
      <x:c r="L17" s="28" t="s">
        <x:v>112</x:v>
      </x:c>
      <x:c r="M17" s="28" t="s">
        <x:v>113</x:v>
      </x:c>
      <x:c r="N17" s="28" t="s">
        <x:v>114</x:v>
      </x:c>
      <x:c r="O17" s="28">
        <x:v>0</x:v>
      </x:c>
      <x:c r="P17" s="28">
        <x:v>10</x:v>
      </x:c>
      <x:c r="Q17" s="29" t="s">
        <x:v>115</x:v>
      </x:c>
    </x:row>
    <x:row r="18" ht="63.95000076293945" customHeight="1">
      <x:c r="A18" s="30" t="s">
        <x:v>116</x:v>
      </x:c>
      <x:c r="B18" s="31" t="s">
        <x:v>20</x:v>
      </x:c>
      <x:c r="C18" s="31" t="s">
        <x:v>117</x:v>
      </x:c>
      <x:c r="D18" s="31" t="s">
        <x:v>118</x:v>
      </x:c>
      <x:c r="E18" s="31">
        <x:v>1</x:v>
      </x:c>
      <x:c r="F18" s="31">
        <x:v>2</x:v>
      </x:c>
      <x:c r="G18" s="31" t="s">
        <x:v>119</x:v>
      </x:c>
      <x:c r="H18" s="31" t="s">
        <x:v>72</x:v>
      </x:c>
      <x:c r="I18" s="31" t="s">
        <x:v>120</x:v>
      </x:c>
      <x:c r="J18" s="31">
        <x:v>0</x:v>
      </x:c>
      <x:c r="K18" s="31">
        <x:v>5</x:v>
      </x:c>
      <x:c r="L18" s="31" t="s">
        <x:v>121</x:v>
      </x:c>
      <x:c r="M18" s="31" t="s">
        <x:v>122</x:v>
      </x:c>
      <x:c r="N18" s="31" t="s">
        <x:v>123</x:v>
      </x:c>
      <x:c r="O18" s="31">
        <x:v>0</x:v>
      </x:c>
      <x:c r="P18" s="31">
        <x:v>10</x:v>
      </x:c>
      <x:c r="Q18" s="1" t="s">
        <x:v>115</x:v>
      </x:c>
    </x:row>
    <x:row r="19" ht="63.95000076293945" customHeight="1">
      <x:c r="A19" s="27" t="s">
        <x:v>124</x:v>
      </x:c>
      <x:c r="B19" s="28" t="s">
        <x:v>20</x:v>
      </x:c>
      <x:c r="C19" s="28" t="s">
        <x:v>125</x:v>
      </x:c>
      <x:c r="D19" s="28" t="s">
        <x:v>126</x:v>
      </x:c>
      <x:c r="E19" s="28">
        <x:v>1</x:v>
      </x:c>
      <x:c r="F19" s="28">
        <x:v>8</x:v>
      </x:c>
      <x:c r="G19" s="28" t="s">
        <x:v>23</x:v>
      </x:c>
      <x:c r="H19" s="28"/>
      <x:c r="I19" s="28" t="s">
        <x:v>127</x:v>
      </x:c>
      <x:c r="J19" s="28">
        <x:v>0</x:v>
      </x:c>
      <x:c r="K19" s="28">
        <x:v>0</x:v>
      </x:c>
      <x:c r="L19" s="28" t="s">
        <x:v>128</x:v>
      </x:c>
      <x:c r="M19" s="28" t="s">
        <x:v>129</x:v>
      </x:c>
      <x:c r="N19" s="29" t="s">
        <x:v>130</x:v>
      </x:c>
      <x:c r="O19" s="28">
        <x:v>0</x:v>
      </x:c>
      <x:c r="P19" s="28">
        <x:v>1</x:v>
      </x:c>
      <x:c r="Q19" s="29" t="s">
        <x:v>131</x:v>
      </x:c>
    </x:row>
    <x:row r="20" ht="63.95000076293945" customHeight="1">
      <x:c r="A20" s="30" t="s">
        <x:v>132</x:v>
      </x:c>
      <x:c r="B20" s="31" t="s">
        <x:v>20</x:v>
      </x:c>
      <x:c r="C20" s="31" t="s">
        <x:v>125</x:v>
      </x:c>
      <x:c r="D20" s="31" t="s">
        <x:v>133</x:v>
      </x:c>
      <x:c r="E20" s="31">
        <x:v>2</x:v>
      </x:c>
      <x:c r="F20" s="31">
        <x:v>6</x:v>
      </x:c>
      <x:c r="G20" s="31" t="s">
        <x:v>129</x:v>
      </x:c>
      <x:c r="H20" s="31"/>
      <x:c r="I20" s="31" t="s">
        <x:v>127</x:v>
      </x:c>
      <x:c r="J20" s="31">
        <x:v>0</x:v>
      </x:c>
      <x:c r="K20" s="31">
        <x:v>0</x:v>
      </x:c>
      <x:c r="L20" s="31" t="s">
        <x:v>134</x:v>
      </x:c>
      <x:c r="M20" s="31" t="s">
        <x:v>135</x:v>
      </x:c>
      <x:c r="N20" s="1" t="s">
        <x:v>130</x:v>
      </x:c>
      <x:c r="O20" s="31">
        <x:v>0</x:v>
      </x:c>
      <x:c r="P20" s="31">
        <x:v>1</x:v>
      </x:c>
      <x:c r="Q20" s="1" t="s">
        <x:v>131</x:v>
      </x:c>
    </x:row>
    <x:row r="21" ht="63.95000076293945" customHeight="1">
      <x:c r="A21" s="27" t="s">
        <x:v>136</x:v>
      </x:c>
      <x:c r="B21" s="28" t="s">
        <x:v>20</x:v>
      </x:c>
      <x:c r="C21" s="28" t="s">
        <x:v>125</x:v>
      </x:c>
      <x:c r="D21" s="28" t="s">
        <x:v>137</x:v>
      </x:c>
      <x:c r="E21" s="28">
        <x:v>3</x:v>
      </x:c>
      <x:c r="F21" s="28">
        <x:v>4</x:v>
      </x:c>
      <x:c r="G21" s="28" t="s">
        <x:v>135</x:v>
      </x:c>
      <x:c r="H21" s="28"/>
      <x:c r="I21" s="28" t="s">
        <x:v>127</x:v>
      </x:c>
      <x:c r="J21" s="28">
        <x:v>0</x:v>
      </x:c>
      <x:c r="K21" s="28">
        <x:v>0</x:v>
      </x:c>
      <x:c r="L21" s="28" t="s">
        <x:v>138</x:v>
      </x:c>
      <x:c r="M21" s="28" t="s">
        <x:v>139</x:v>
      </x:c>
      <x:c r="N21" s="29" t="s">
        <x:v>130</x:v>
      </x:c>
      <x:c r="O21" s="28">
        <x:v>0</x:v>
      </x:c>
      <x:c r="P21" s="28">
        <x:v>1</x:v>
      </x:c>
      <x:c r="Q21" s="29" t="s">
        <x:v>131</x:v>
      </x:c>
    </x:row>
    <x:row r="22" ht="63.95000076293945" customHeight="1">
      <x:c r="A22" s="30" t="s">
        <x:v>140</x:v>
      </x:c>
      <x:c r="B22" s="31" t="s">
        <x:v>20</x:v>
      </x:c>
      <x:c r="C22" s="31" t="s">
        <x:v>125</x:v>
      </x:c>
      <x:c r="D22" s="31" t="s">
        <x:v>141</x:v>
      </x:c>
      <x:c r="E22" s="31">
        <x:v>1</x:v>
      </x:c>
      <x:c r="F22" s="31">
        <x:v>2</x:v>
      </x:c>
      <x:c r="G22" s="31" t="s">
        <x:v>142</x:v>
      </x:c>
      <x:c r="H22" s="31"/>
      <x:c r="I22" s="31" t="s">
        <x:v>143</x:v>
      </x:c>
      <x:c r="J22" s="31">
        <x:v>0</x:v>
      </x:c>
      <x:c r="K22" s="31">
        <x:v>5</x:v>
      </x:c>
      <x:c r="L22" s="31" t="s">
        <x:v>144</x:v>
      </x:c>
      <x:c r="M22" s="31" t="s">
        <x:v>142</x:v>
      </x:c>
      <x:c r="N22" s="31" t="s">
        <x:v>145</x:v>
      </x:c>
      <x:c r="O22" s="31">
        <x:v>0</x:v>
      </x:c>
      <x:c r="P22" s="31">
        <x:v>5</x:v>
      </x:c>
      <x:c r="Q22" s="1" t="str">
        <x:v>Hybrid Travel Tile. Connected settlement network wording removed.</x:v>
      </x:c>
    </x:row>
    <x:row r="23" ht="63.95000076293945" customHeight="1">
      <x:c r="A23" s="27" t="s">
        <x:v>146</x:v>
      </x:c>
      <x:c r="B23" s="28" t="s">
        <x:v>20</x:v>
      </x:c>
      <x:c r="C23" s="28" t="s">
        <x:v>125</x:v>
      </x:c>
      <x:c r="D23" s="28" t="s">
        <x:v>147</x:v>
      </x:c>
      <x:c r="E23" s="28">
        <x:v>1</x:v>
      </x:c>
      <x:c r="F23" s="28">
        <x:v>3</x:v>
      </x:c>
      <x:c r="G23" s="28" t="s">
        <x:v>148</x:v>
      </x:c>
      <x:c r="H23" s="28" t="s">
        <x:v>149</x:v>
      </x:c>
      <x:c r="I23" s="28" t="s">
        <x:v>150</x:v>
      </x:c>
      <x:c r="J23" s="28">
        <x:v>0</x:v>
      </x:c>
      <x:c r="K23" s="28">
        <x:v>0</x:v>
      </x:c>
      <x:c r="L23" s="28" t="s">
        <x:v>151</x:v>
      </x:c>
      <x:c r="M23" s="28" t="s">
        <x:v>152</x:v>
      </x:c>
      <x:c r="N23" s="28" t="s">
        <x:v>153</x:v>
      </x:c>
      <x:c r="O23" s="28">
        <x:v>0</x:v>
      </x:c>
      <x:c r="P23" s="28">
        <x:v>5</x:v>
      </x:c>
      <x:c r="Q23" s="29" t="str">
        <x:v>Bridge connects across River/Water and is not a Resource Tile. Linked Production does not apply.</x:v>
      </x:c>
    </x:row>
    <x:row r="24" ht="72" hidden="0" customHeight="1">
      <x:c r="A24" s="30" t="s">
        <x:v>154</x:v>
      </x:c>
      <x:c r="B24" s="31" t="s">
        <x:v>20</x:v>
      </x:c>
      <x:c r="C24" s="31" t="s">
        <x:v>21</x:v>
      </x:c>
      <x:c r="D24" s="31" t="str">
        <x:v>Salvage Camp</x:v>
      </x:c>
      <x:c r="E24" s="31">
        <x:v>1</x:v>
      </x:c>
      <x:c r="F24" s="31">
        <x:v>3</x:v>
      </x:c>
      <x:c r="G24" s="31" t="s">
        <x:v>23</x:v>
      </x:c>
      <x:c r="H24" s="31" t="s">
        <x:v>155</x:v>
      </x:c>
      <x:c r="I24" s="31" t="s">
        <x:v>156</x:v>
      </x:c>
      <x:c r="J24" s="31">
        <x:v>0</x:v>
      </x:c>
      <x:c r="K24" s="31">
        <x:v>0</x:v>
      </x:c>
      <x:c r="L24" s="31" t="str">
        <x:v>Reclamation Works</x:v>
      </x:c>
      <x:c r="M24" s="31" t="s">
        <x:v>23</x:v>
      </x:c>
      <x:c r="N24" s="31" t="s">
        <x:v>157</x:v>
      </x:c>
      <x:c r="O24" s="31">
        <x:v>0</x:v>
      </x:c>
      <x:c r="P24" s="31">
        <x:v>0</x:v>
      </x:c>
      <x:c r="Q24" s="1" t="s">
        <x:v>28</x:v>
      </x:c>
    </x:row>
    <x:row r="25" ht="36" hidden="0" customHeight="1">
      <x:c r="A25" s="27" t="s">
        <x:v>158</x:v>
      </x:c>
      <x:c r="B25" s="28" t="s">
        <x:v>20</x:v>
      </x:c>
      <x:c r="C25" s="28" t="s">
        <x:v>93</x:v>
      </x:c>
      <x:c r="D25" s="28" t="s">
        <x:v>159</x:v>
      </x:c>
      <x:c r="E25" s="28">
        <x:v>1</x:v>
      </x:c>
      <x:c r="F25" s="28">
        <x:v>2</x:v>
      </x:c>
      <x:c r="G25" s="28" t="s">
        <x:v>160</x:v>
      </x:c>
      <x:c r="H25" s="28" t="s">
        <x:v>161</x:v>
      </x:c>
      <x:c r="I25" s="28" t="s">
        <x:v>82</x:v>
      </x:c>
      <x:c r="J25" s="28">
        <x:v>0</x:v>
      </x:c>
      <x:c r="K25" s="28">
        <x:v>5</x:v>
      </x:c>
      <x:c r="L25" s="28" t="str">
        <x:v>The Restored Vaults</x:v>
      </x:c>
      <x:c r="M25" s="28" t="s">
        <x:v>162</x:v>
      </x:c>
      <x:c r="N25" s="28" t="s">
        <x:v>105</x:v>
      </x:c>
      <x:c r="O25" s="28">
        <x:v>0</x:v>
      </x:c>
      <x:c r="P25" s="28">
        <x:v>10</x:v>
      </x:c>
      <x:c r="Q25" s="28" t="str">
        <x:v>Cost and recovery model updated. Ruins wording normalized to terrain adjacency.</x:v>
      </x:c>
    </x:row>
  </x:sheetData>
  <x:mergeCells>
    <x:mergeCell ref="A1:Q1"/>
    <x:mergeCell ref="A2:Q2"/>
  </x:mergeCells>
  <x:pageMargins left="0.7" right="0.7" top="0.75" bottom="0.75" header="0.3" footer="0.3"/>
</x:worksheet>
</file>

<file path=xl/worksheets/sheet2.xml><?xml version="1.0" encoding="utf-8"?>
<x:worksheet xmlns:x="http://schemas.openxmlformats.org/spreadsheetml/2006/main">
  <x:sheetFormatPr defaultRowHeight="15"/>
  <x:cols>
    <x:col min="1" max="1" width="28" customWidth="1"/>
    <x:col min="2" max="2" width="24" customWidth="1"/>
    <x:col min="3" max="3" width="16" customWidth="1"/>
    <x:col min="4" max="5" width="10" customWidth="1"/>
    <x:col min="6" max="6" width="28" customWidth="1"/>
    <x:col min="7" max="7" width="34" customWidth="1"/>
    <x:col min="8" max="8" width="58" customWidth="1"/>
    <x:col min="9" max="10" width="12" customWidth="1"/>
    <x:col min="11" max="11" width="32" customWidth="1"/>
  </x:cols>
  <x:sheetData>
    <x:row r="1" ht="33.599998474121094" hidden="0" customHeight="1">
      <x:c r="A1" s="32" t="s">
        <x:v>163</x:v>
      </x:c>
      <x:c r="B1" s="33"/>
      <x:c r="C1" s="33"/>
      <x:c r="D1" s="33"/>
      <x:c r="E1" s="33"/>
      <x:c r="F1" s="33"/>
      <x:c r="G1" s="33"/>
      <x:c r="H1" s="33"/>
      <x:c r="I1" s="33"/>
      <x:c r="J1" s="33"/>
      <x:c r="K1" s="34"/>
    </x:row>
    <x:row r="2" ht="32.400001525878906" hidden="0" customHeight="1">
      <x:c r="A2" s="35" t="s">
        <x:v>164</x:v>
      </x:c>
      <x:c r="B2" s="36"/>
      <x:c r="C2" s="36"/>
      <x:c r="D2" s="36"/>
      <x:c r="E2" s="36"/>
      <x:c r="F2" s="36"/>
      <x:c r="G2" s="36"/>
      <x:c r="H2" s="36"/>
      <x:c r="I2" s="36"/>
      <x:c r="J2" s="36"/>
      <x:c r="K2" s="37"/>
    </x:row>
    <x:row r="3" ht="8.100000381469727" customHeight="1">
      <x:c r="A3" s="23"/>
      <x:c r="B3" s="24"/>
      <x:c r="C3" s="24"/>
      <x:c r="D3" s="24"/>
      <x:c r="E3" s="24"/>
      <x:c r="F3" s="24"/>
      <x:c r="G3" s="24"/>
      <x:c r="H3" s="24"/>
      <x:c r="I3" s="24"/>
      <x:c r="J3" s="24"/>
      <x:c r="K3" s="25"/>
    </x:row>
    <x:row r="4" ht="30" customHeight="1">
      <x:c r="A4" s="26" t="s">
        <x:v>165</x:v>
      </x:c>
      <x:c r="B4" s="26" t="s">
        <x:v>166</x:v>
      </x:c>
      <x:c r="C4" s="26" t="s">
        <x:v>167</x:v>
      </x:c>
      <x:c r="D4" s="26" t="s">
        <x:v>168</x:v>
      </x:c>
      <x:c r="E4" s="26" t="s">
        <x:v>7</x:v>
      </x:c>
      <x:c r="F4" s="26" t="s">
        <x:v>169</x:v>
      </x:c>
      <x:c r="G4" s="26" t="s">
        <x:v>170</x:v>
      </x:c>
      <x:c r="H4" s="26" t="s">
        <x:v>171</x:v>
      </x:c>
      <x:c r="I4" s="26" t="s">
        <x:v>172</x:v>
      </x:c>
      <x:c r="J4" s="26" t="s">
        <x:v>173</x:v>
      </x:c>
      <x:c r="K4" s="26" t="s">
        <x:v>174</x:v>
      </x:c>
    </x:row>
    <x:row r="5" ht="63.95000076293945" customHeight="1">
      <x:c r="A5" s="27" t="s">
        <x:v>175</x:v>
      </x:c>
      <x:c r="B5" s="28" t="s">
        <x:v>176</x:v>
      </x:c>
      <x:c r="C5" s="28" t="s">
        <x:v>108</x:v>
      </x:c>
      <x:c r="D5" s="28">
        <x:v>1</x:v>
      </x:c>
      <x:c r="E5" s="28">
        <x:v>1</x:v>
      </x:c>
      <x:c r="F5" s="28" t="s">
        <x:v>177</x:v>
      </x:c>
      <x:c r="G5" s="28" t="s">
        <x:v>178</x:v>
      </x:c>
      <x:c r="H5" s="28" t="str">
        <x:v>Activated Effect, once per Season: Resolve 1 active Burden.</x:v>
      </x:c>
      <x:c r="I5" s="28">
        <x:v>5</x:v>
      </x:c>
      <x:c r="J5" s="28">
        <x:v>5</x:v>
      </x:c>
      <x:c r="K5" s="28"/>
    </x:row>
    <x:row r="6" ht="63.95000076293945" customHeight="1">
      <x:c r="A6" s="30" t="s">
        <x:v>179</x:v>
      </x:c>
      <x:c r="B6" s="31" t="s">
        <x:v>180</x:v>
      </x:c>
      <x:c r="C6" s="31" t="s">
        <x:v>108</x:v>
      </x:c>
      <x:c r="D6" s="31">
        <x:v>1</x:v>
      </x:c>
      <x:c r="E6" s="31">
        <x:v>1</x:v>
      </x:c>
      <x:c r="F6" s="31" t="s">
        <x:v>181</x:v>
      </x:c>
      <x:c r="G6" s="31" t="s">
        <x:v>161</x:v>
      </x:c>
      <x:c r="H6" s="31" t="str">
        <x:v>Activated Effect: Exchange up to 5 resources for the same number of non-Goods resources, or exchange 5 resources for 3 Goods.</x:v>
      </x:c>
      <x:c r="I6" s="31">
        <x:v>5</x:v>
      </x:c>
      <x:c r="J6" s="31">
        <x:v>5</x:v>
      </x:c>
      <x:c r="K6" s="31"/>
    </x:row>
    <x:row r="7" ht="63.95000076293945" customHeight="1">
      <x:c r="A7" s="27" t="s">
        <x:v>182</x:v>
      </x:c>
      <x:c r="B7" s="28" t="s">
        <x:v>183</x:v>
      </x:c>
      <x:c r="C7" s="28" t="s">
        <x:v>93</x:v>
      </x:c>
      <x:c r="D7" s="28">
        <x:v>1</x:v>
      </x:c>
      <x:c r="E7" s="28">
        <x:v>1</x:v>
      </x:c>
      <x:c r="F7" s="28" t="s">
        <x:v>184</x:v>
      </x:c>
      <x:c r="G7" s="28"/>
      <x:c r="H7" s="28" t="str">
        <x:v>When placed or activated: Up to 2 adjacent tiles gain Supported.</x:v>
      </x:c>
      <x:c r="I7" s="28">
        <x:v>5</x:v>
      </x:c>
      <x:c r="J7" s="28">
        <x:v>5</x:v>
      </x:c>
      <x:c r="K7" s="28"/>
    </x:row>
    <x:row r="8" ht="63.95000076293945" customHeight="1">
      <x:c r="A8" s="30" t="s">
        <x:v>185</x:v>
      </x:c>
      <x:c r="B8" s="31" t="s">
        <x:v>186</x:v>
      </x:c>
      <x:c r="C8" s="31" t="s">
        <x:v>93</x:v>
      </x:c>
      <x:c r="D8" s="31">
        <x:v>1</x:v>
      </x:c>
      <x:c r="E8" s="31">
        <x:v>1</x:v>
      </x:c>
      <x:c r="F8" s="31" t="s">
        <x:v>187</x:v>
      </x:c>
      <x:c r="G8" s="31" t="s">
        <x:v>188</x:v>
      </x:c>
      <x:c r="H8" s="31" t="str">
        <x:v>Activated Effect, once per round: Pay 1 Wood and 1 Metal. Remove all Strain from 1 placed tile. It gains Supported.</x:v>
      </x:c>
      <x:c r="I8" s="31">
        <x:v>5</x:v>
      </x:c>
      <x:c r="J8" s="31">
        <x:v>5</x:v>
      </x:c>
      <x:c r="K8" s="31"/>
    </x:row>
    <x:row r="9" ht="63.95000076293945" customHeight="1">
      <x:c r="A9" s="27" t="s">
        <x:v>189</x:v>
      </x:c>
      <x:c r="B9" s="28" t="s">
        <x:v>190</x:v>
      </x:c>
      <x:c r="C9" s="28" t="s">
        <x:v>108</x:v>
      </x:c>
      <x:c r="D9" s="28">
        <x:v>1</x:v>
      </x:c>
      <x:c r="E9" s="28">
        <x:v>1</x:v>
      </x:c>
      <x:c r="F9" s="28" t="s">
        <x:v>191</x:v>
      </x:c>
      <x:c r="G9" s="28" t="s">
        <x:v>178</x:v>
      </x:c>
      <x:c r="H9" s="28" t="str">
        <x:v>Passive: Once per round, the first Housing tile placed adjacent to this tile costs 2 fewer Food and gains Supported.</x:v>
      </x:c>
      <x:c r="I9" s="28">
        <x:v>5</x:v>
      </x:c>
      <x:c r="J9" s="28">
        <x:v>5</x:v>
      </x:c>
      <x:c r="K9" s="28"/>
    </x:row>
    <x:row r="10" ht="63.95000076293945" customHeight="1">
      <x:c r="A10" s="30" t="s">
        <x:v>192</x:v>
      </x:c>
      <x:c r="B10" s="31" t="s">
        <x:v>193</x:v>
      </x:c>
      <x:c r="C10" s="31" t="s">
        <x:v>125</x:v>
      </x:c>
      <x:c r="D10" s="31">
        <x:v>1</x:v>
      </x:c>
      <x:c r="E10" s="31">
        <x:v>1</x:v>
      </x:c>
      <x:c r="F10" s="31" t="s">
        <x:v>194</x:v>
      </x:c>
      <x:c r="G10" s="31" t="s">
        <x:v>149</x:v>
      </x:c>
      <x:c r="H10" s="31" t="str">
        <x:v>Passive: Every non-Water hex adjacent to Water/River terrain is reachable from this tile. Non-Overstrained tiles on those hexes join this tile’s settlement network.</x:v>
      </x:c>
      <x:c r="I10" s="31">
        <x:v>5</x:v>
      </x:c>
      <x:c r="J10" s="31">
        <x:v>5</x:v>
      </x:c>
      <x:c r="K10" s="31"/>
    </x:row>
    <x:row r="11" ht="63.95000076293945" customHeight="1">
      <x:c r="A11" s="27" t="s">
        <x:v>195</x:v>
      </x:c>
      <x:c r="B11" s="28" t="s">
        <x:v>196</x:v>
      </x:c>
      <x:c r="C11" s="28" t="s">
        <x:v>93</x:v>
      </x:c>
      <x:c r="D11" s="28">
        <x:v>1</x:v>
      </x:c>
      <x:c r="E11" s="28">
        <x:v>1</x:v>
      </x:c>
      <x:c r="F11" s="28" t="s">
        <x:v>197</x:v>
      </x:c>
      <x:c r="G11" s="28" t="s">
        <x:v>58</x:v>
      </x:c>
      <x:c r="H11" s="28" t="str">
        <x:v>Activated Effect, once per round: Remove up to 2 Strain from Housing, Social or Wellbeing Tiles.</x:v>
      </x:c>
      <x:c r="I11" s="28">
        <x:v>5</x:v>
      </x:c>
      <x:c r="J11" s="28">
        <x:v>5</x:v>
      </x:c>
      <x:c r="K11" s="28"/>
    </x:row>
    <x:row r="12" ht="63.95000076293945" customHeight="1">
      <x:c r="A12" s="30" t="s">
        <x:v>198</x:v>
      </x:c>
      <x:c r="B12" s="31" t="s">
        <x:v>199</x:v>
      </x:c>
      <x:c r="C12" s="31" t="s">
        <x:v>79</x:v>
      </x:c>
      <x:c r="D12" s="31">
        <x:v>1</x:v>
      </x:c>
      <x:c r="E12" s="31">
        <x:v>1</x:v>
      </x:c>
      <x:c r="F12" s="31" t="s">
        <x:v>200</x:v>
      </x:c>
      <x:c r="G12" s="31"/>
      <x:c r="H12" s="31" t="str">
        <x:v>Passive: Once per round, reduce the resource cost of completing 1 Arrival or resolving 1 Burden by 2.</x:v>
      </x:c>
      <x:c r="I12" s="31">
        <x:v>5</x:v>
      </x:c>
      <x:c r="J12" s="31">
        <x:v>5</x:v>
      </x:c>
      <x:c r="K12" s="31"/>
    </x:row>
    <x:row r="13" ht="63.95000076293945" customHeight="1">
      <x:c r="A13" s="27" t="s">
        <x:v>201</x:v>
      </x:c>
      <x:c r="B13" s="28" t="s">
        <x:v>202</x:v>
      </x:c>
      <x:c r="C13" s="28" t="s">
        <x:v>108</x:v>
      </x:c>
      <x:c r="D13" s="28">
        <x:v>1</x:v>
      </x:c>
      <x:c r="E13" s="28">
        <x:v>1</x:v>
      </x:c>
      <x:c r="F13" s="28" t="s">
        <x:v>203</x:v>
      </x:c>
      <x:c r="G13" s="28" t="s">
        <x:v>72</x:v>
      </x:c>
      <x:c r="H13" s="28" t="str">
        <x:v>Passive: Once per round, reduce the resource cost of placing 1 adjacent tile by 2.</x:v>
      </x:c>
      <x:c r="I13" s="28">
        <x:v>5</x:v>
      </x:c>
      <x:c r="J13" s="28">
        <x:v>5</x:v>
      </x:c>
      <x:c r="K13" s="28"/>
    </x:row>
    <x:row r="14" ht="63.95000076293945" customHeight="1">
      <x:c r="A14" s="30" t="s">
        <x:v>204</x:v>
      </x:c>
      <x:c r="B14" s="31" t="s">
        <x:v>205</x:v>
      </x:c>
      <x:c r="C14" s="31" t="s">
        <x:v>125</x:v>
      </x:c>
      <x:c r="D14" s="31">
        <x:v>1</x:v>
      </x:c>
      <x:c r="E14" s="31">
        <x:v>1</x:v>
      </x:c>
      <x:c r="F14" s="31" t="s">
        <x:v>206</x:v>
      </x:c>
      <x:c r="G14" s="31" t="s">
        <x:v>72</x:v>
      </x:c>
      <x:c r="H14" s="31" t="str">
        <x:v>Passive: Once per round, prevent 1 Strain that would be placed on a Travel Tile in this tile’s connected settlement network.</x:v>
      </x:c>
      <x:c r="I14" s="31">
        <x:v>5</x:v>
      </x:c>
      <x:c r="J14" s="31">
        <x:v>5</x:v>
      </x:c>
      <x:c r="K14" s="31"/>
    </x:row>
    <x:row r="15" ht="63.95000076293945" customHeight="1">
      <x:c r="A15" s="27" t="s">
        <x:v>207</x:v>
      </x:c>
      <x:c r="B15" s="28" t="s">
        <x:v>208</x:v>
      </x:c>
      <x:c r="C15" s="28" t="s">
        <x:v>117</x:v>
      </x:c>
      <x:c r="D15" s="28">
        <x:v>1</x:v>
      </x:c>
      <x:c r="E15" s="28">
        <x:v>1</x:v>
      </x:c>
      <x:c r="F15" s="28" t="s">
        <x:v>209</x:v>
      </x:c>
      <x:c r="G15" s="28" t="s">
        <x:v>210</x:v>
      </x:c>
      <x:c r="H15" s="28" t="str">
        <x:v>Activated Effect, once per round: Gain 2 Metal or remove up to 2 Strain from 1 Crafting or Merchant Tile.</x:v>
      </x:c>
      <x:c r="I15" s="28">
        <x:v>5</x:v>
      </x:c>
      <x:c r="J15" s="28">
        <x:v>5</x:v>
      </x:c>
      <x:c r="K15" s="28"/>
    </x:row>
    <x:row r="16" ht="24" hidden="0" customHeight="1">
      <x:c r="A16" s="30" t="s">
        <x:v>211</x:v>
      </x:c>
      <x:c r="B16" s="31" t="s">
        <x:v>212</x:v>
      </x:c>
      <x:c r="C16" s="31" t="s">
        <x:v>21</x:v>
      </x:c>
      <x:c r="D16" s="31">
        <x:v>1</x:v>
      </x:c>
      <x:c r="E16" s="31">
        <x:v>1</x:v>
      </x:c>
      <x:c r="F16" s="31" t="s">
        <x:v>213</x:v>
      </x:c>
      <x:c r="G16" s="31" t="str">
        <x:v>Place adjacent to a Salvage Camp / Reclamation Works.</x:v>
      </x:c>
      <x:c r="H16" s="31" t="str">
        <x:v>Passive: Once per round, after an adjacent Salvage Camp or Reclamation Works produces, gain 2 Metal.</x:v>
      </x:c>
      <x:c r="I16" s="31">
        <x:v>0</x:v>
      </x:c>
      <x:c r="J16" s="31">
        <x:v>5</x:v>
      </x:c>
      <x:c r="K16" s="31"/>
    </x:row>
    <x:row r="17" ht="63.95000076293945" customHeight="1">
      <x:c r="A17" s="27" t="s">
        <x:v>214</x:v>
      </x:c>
      <x:c r="B17" s="28" t="s">
        <x:v>215</x:v>
      </x:c>
      <x:c r="C17" s="28" t="s">
        <x:v>21</x:v>
      </x:c>
      <x:c r="D17" s="28">
        <x:v>1</x:v>
      </x:c>
      <x:c r="E17" s="28">
        <x:v>1</x:v>
      </x:c>
      <x:c r="F17" s="28" t="s">
        <x:v>216</x:v>
      </x:c>
      <x:c r="G17" s="28" t="s">
        <x:v>217</x:v>
      </x:c>
      <x:c r="H17" s="28" t="str">
        <x:v>Passive: Once per round, after an adjacent Gathering Outpost or Gathering Lodge produces, gain 2 Herbs.</x:v>
      </x:c>
      <x:c r="I17" s="28">
        <x:v>0</x:v>
      </x:c>
      <x:c r="J17" s="28">
        <x:v>5</x:v>
      </x:c>
      <x:c r="K17" s="28"/>
    </x:row>
    <x:row r="18" ht="63.95000076293945" customHeight="1">
      <x:c r="A18" s="30" t="s">
        <x:v>218</x:v>
      </x:c>
      <x:c r="B18" s="31" t="s">
        <x:v>219</x:v>
      </x:c>
      <x:c r="C18" s="31" t="s">
        <x:v>21</x:v>
      </x:c>
      <x:c r="D18" s="31">
        <x:v>1</x:v>
      </x:c>
      <x:c r="E18" s="31">
        <x:v>1</x:v>
      </x:c>
      <x:c r="F18" s="31" t="s">
        <x:v>220</x:v>
      </x:c>
      <x:c r="G18" s="31" t="s">
        <x:v>221</x:v>
      </x:c>
      <x:c r="H18" s="31" t="str">
        <x:v>Passive: Once per round, after an adjacent Farmstead or Artisan Farm produces, gain 2 Food.</x:v>
      </x:c>
      <x:c r="I18" s="31">
        <x:v>0</x:v>
      </x:c>
      <x:c r="J18" s="31">
        <x:v>5</x:v>
      </x:c>
      <x:c r="K18" s="31"/>
    </x:row>
    <x:row r="19" ht="63.95000076293945" customHeight="1">
      <x:c r="A19" s="27" t="s">
        <x:v>222</x:v>
      </x:c>
      <x:c r="B19" s="28" t="s">
        <x:v>223</x:v>
      </x:c>
      <x:c r="C19" s="28" t="s">
        <x:v>21</x:v>
      </x:c>
      <x:c r="D19" s="28">
        <x:v>1</x:v>
      </x:c>
      <x:c r="E19" s="28">
        <x:v>1</x:v>
      </x:c>
      <x:c r="F19" s="28" t="s">
        <x:v>224</x:v>
      </x:c>
      <x:c r="G19" s="28" t="s">
        <x:v>225</x:v>
      </x:c>
      <x:c r="H19" s="28" t="str">
        <x:v>Passive: Once per round, after an adjacent Mine Tunnel or Mine Shaft produces, gain 2 Stone.</x:v>
      </x:c>
      <x:c r="I19" s="28">
        <x:v>0</x:v>
      </x:c>
      <x:c r="J19" s="28">
        <x:v>5</x:v>
      </x:c>
      <x:c r="K19" s="28"/>
    </x:row>
    <x:row r="20" ht="63.95000076293945" customHeight="1">
      <x:c r="A20" s="30" t="s">
        <x:v>226</x:v>
      </x:c>
      <x:c r="B20" s="31" t="s">
        <x:v>227</x:v>
      </x:c>
      <x:c r="C20" s="31" t="s">
        <x:v>21</x:v>
      </x:c>
      <x:c r="D20" s="31">
        <x:v>1</x:v>
      </x:c>
      <x:c r="E20" s="31">
        <x:v>1</x:v>
      </x:c>
      <x:c r="F20" s="31" t="s">
        <x:v>228</x:v>
      </x:c>
      <x:c r="G20" s="31" t="s">
        <x:v>229</x:v>
      </x:c>
      <x:c r="H20" s="31" t="str">
        <x:v>Passive: Once per round, after an adjacent Lumber Yard or Sustainable Lumber Yard produces, gain 2 Wood.</x:v>
      </x:c>
      <x:c r="I20" s="31">
        <x:v>0</x:v>
      </x:c>
      <x:c r="J20" s="31">
        <x:v>5</x:v>
      </x:c>
      <x:c r="K20" s="31"/>
    </x:row>
    <x:row r="21" ht="63.95000076293945" customHeight="1">
      <x:c r="A21" s="27" t="s">
        <x:v>230</x:v>
      </x:c>
      <x:c r="B21" s="28" t="s">
        <x:v>231</x:v>
      </x:c>
      <x:c r="C21" s="28" t="s">
        <x:v>125</x:v>
      </x:c>
      <x:c r="D21" s="28" t="s">
        <x:v>232</x:v>
      </x:c>
      <x:c r="E21" s="28">
        <x:v>2</x:v>
      </x:c>
      <x:c r="F21" s="28" t="s">
        <x:v>233</x:v>
      </x:c>
      <x:c r="G21" s="28" t="str">
        <x:v>Place one Stables tile connected to the acting Steward’s settlement network. Place the other on any valid hex.</x:v>
      </x:c>
      <x:c r="H21" s="28" t="str">
        <x:v>Passive: Treat the two Stables tiles as adjacent when determining settlement networks. Tiles connected to either Stables are part of the same settlement network.</x:v>
      </x:c>
      <x:c r="I21" s="28">
        <x:v>0</x:v>
      </x:c>
      <x:c r="J21" s="28">
        <x:v>5</x:v>
      </x:c>
      <x:c r="K21" s="28" t="s">
        <x:v>234</x:v>
      </x:c>
    </x:row>
    <x:row r="22" ht="63.95000076293945" customHeight="1">
      <x:c r="A22" s="30" t="s">
        <x:v>235</x:v>
      </x:c>
      <x:c r="B22" s="31" t="s">
        <x:v>236</x:v>
      </x:c>
      <x:c r="C22" s="31" t="s">
        <x:v>21</x:v>
      </x:c>
      <x:c r="D22" s="31">
        <x:v>1</x:v>
      </x:c>
      <x:c r="E22" s="31">
        <x:v>1</x:v>
      </x:c>
      <x:c r="F22" s="31" t="s">
        <x:v>237</x:v>
      </x:c>
      <x:c r="G22" s="31" t="s">
        <x:v>225</x:v>
      </x:c>
      <x:c r="H22" s="31" t="str">
        <x:v>Passive: Once per round, after an adjacent Mine Tunnel or Mine Shaft produces, gain 1 Metal and remove 1 Strain from that tile.</x:v>
      </x:c>
      <x:c r="I22" s="31">
        <x:v>5</x:v>
      </x:c>
      <x:c r="J22" s="31">
        <x:v>5</x:v>
      </x:c>
      <x:c r="K22" s="31"/>
    </x:row>
    <x:row r="23" ht="24" hidden="0" customHeight="1">
      <x:c r="A23" s="27" t="s">
        <x:v>238</x:v>
      </x:c>
      <x:c r="B23" s="28" t="s">
        <x:v>239</x:v>
      </x:c>
      <x:c r="C23" s="28" t="s">
        <x:v>21</x:v>
      </x:c>
      <x:c r="D23" s="28">
        <x:v>1</x:v>
      </x:c>
      <x:c r="E23" s="28">
        <x:v>1</x:v>
      </x:c>
      <x:c r="F23" s="28" t="s">
        <x:v>240</x:v>
      </x:c>
      <x:c r="G23" s="28" t="str">
        <x:v>Place adjacent to a Salvage Camp / Reclamation Works.</x:v>
      </x:c>
      <x:c r="H23" s="28" t="str">
        <x:v>Passive: Once per round, after an adjacent Salvage Camp or Reclamation Works produces, gain 1 Goods.</x:v>
      </x:c>
      <x:c r="I23" s="28">
        <x:v>5</x:v>
      </x:c>
      <x:c r="J23" s="28">
        <x:v>5</x:v>
      </x:c>
      <x:c r="K23" s="28"/>
    </x:row>
    <x:row r="24" ht="63.95000076293945" customHeight="1">
      <x:c r="A24" s="30" t="s">
        <x:v>241</x:v>
      </x:c>
      <x:c r="B24" s="31" t="s">
        <x:v>242</x:v>
      </x:c>
      <x:c r="C24" s="31" t="s">
        <x:v>21</x:v>
      </x:c>
      <x:c r="D24" s="31">
        <x:v>1</x:v>
      </x:c>
      <x:c r="E24" s="31">
        <x:v>1</x:v>
      </x:c>
      <x:c r="F24" s="31" t="s">
        <x:v>243</x:v>
      </x:c>
      <x:c r="G24" s="31" t="s">
        <x:v>229</x:v>
      </x:c>
      <x:c r="H24" s="31" t="str">
        <x:v>Passive: Once per round, after a tile is placed, gain 2 Wood.</x:v>
      </x:c>
      <x:c r="I24" s="31">
        <x:v>5</x:v>
      </x:c>
      <x:c r="J24" s="31">
        <x:v>5</x:v>
      </x:c>
      <x:c r="K24" s="31"/>
    </x:row>
    <x:row r="25" ht="63.95000076293945" customHeight="1">
      <x:c r="A25" s="27" t="s">
        <x:v>244</x:v>
      </x:c>
      <x:c r="B25" s="28" t="s">
        <x:v>245</x:v>
      </x:c>
      <x:c r="C25" s="28" t="s">
        <x:v>93</x:v>
      </x:c>
      <x:c r="D25" s="28">
        <x:v>1</x:v>
      </x:c>
      <x:c r="E25" s="28">
        <x:v>1</x:v>
      </x:c>
      <x:c r="F25" s="28" t="s">
        <x:v>246</x:v>
      </x:c>
      <x:c r="G25" s="28" t="s">
        <x:v>247</x:v>
      </x:c>
      <x:c r="H25" s="28" t="str">
        <x:v>Passive: Once per round, after a Burden is resolved, remove 1 Strain from 1 placed tile.</x:v>
      </x:c>
      <x:c r="I25" s="28">
        <x:v>5</x:v>
      </x:c>
      <x:c r="J25" s="28">
        <x:v>5</x:v>
      </x:c>
      <x:c r="K25" s="28"/>
    </x:row>
    <x:row r="26" ht="63.95000076293945" customHeight="1">
      <x:c r="A26" s="30" t="s">
        <x:v>248</x:v>
      </x:c>
      <x:c r="B26" s="31" t="s">
        <x:v>249</x:v>
      </x:c>
      <x:c r="C26" s="31" t="s">
        <x:v>21</x:v>
      </x:c>
      <x:c r="D26" s="31">
        <x:v>1</x:v>
      </x:c>
      <x:c r="E26" s="31">
        <x:v>1</x:v>
      </x:c>
      <x:c r="F26" s="31" t="s">
        <x:v>250</x:v>
      </x:c>
      <x:c r="G26" s="31" t="s">
        <x:v>217</x:v>
      </x:c>
      <x:c r="H26" s="31" t="str">
        <x:v>Passive: Once per round, when Strain would be placed on a tile, you may pay 2 Herbs to prevent 1 Strain.</x:v>
      </x:c>
      <x:c r="I26" s="31">
        <x:v>5</x:v>
      </x:c>
      <x:c r="J26" s="31">
        <x:v>5</x:v>
      </x:c>
      <x:c r="K26" s="31"/>
    </x:row>
    <x:row r="27" ht="63.95000076293945" customHeight="1">
      <x:c r="A27" s="27" t="s">
        <x:v>251</x:v>
      </x:c>
      <x:c r="B27" s="28" t="s">
        <x:v>252</x:v>
      </x:c>
      <x:c r="C27" s="28" t="s">
        <x:v>21</x:v>
      </x:c>
      <x:c r="D27" s="28">
        <x:v>1</x:v>
      </x:c>
      <x:c r="E27" s="28">
        <x:v>1</x:v>
      </x:c>
      <x:c r="F27" s="28" t="s">
        <x:v>253</x:v>
      </x:c>
      <x:c r="G27" s="28" t="s">
        <x:v>221</x:v>
      </x:c>
      <x:c r="H27" s="28" t="str">
        <x:v>Passive: Once per round, when paying a cost, pay up to 2 fewer Food.</x:v>
      </x:c>
      <x:c r="I27" s="28">
        <x:v>5</x:v>
      </x:c>
      <x:c r="J27" s="28">
        <x:v>5</x:v>
      </x:c>
      <x:c r="K27" s="28"/>
    </x:row>
    <x:row r="28" ht="63.95000076293945" customHeight="1">
      <x:c r="A28" s="30" t="s">
        <x:v>254</x:v>
      </x:c>
      <x:c r="B28" s="31" t="s">
        <x:v>255</x:v>
      </x:c>
      <x:c r="C28" s="31" t="s">
        <x:v>117</x:v>
      </x:c>
      <x:c r="D28" s="31">
        <x:v>1</x:v>
      </x:c>
      <x:c r="E28" s="31">
        <x:v>1</x:v>
      </x:c>
      <x:c r="F28" s="31" t="s">
        <x:v>256</x:v>
      </x:c>
      <x:c r="G28" s="31" t="s">
        <x:v>72</x:v>
      </x:c>
      <x:c r="H28" s="31" t="str">
        <x:v>Passive: Once per round, complete 1 Arrival for 0 Actions. Pay its cost and follow normal rules.</x:v>
      </x:c>
      <x:c r="I28" s="31">
        <x:v>5</x:v>
      </x:c>
      <x:c r="J28" s="31">
        <x:v>5</x:v>
      </x:c>
      <x:c r="K28" s="31"/>
    </x:row>
    <x:row r="29" ht="63.95000076293945" customHeight="1">
      <x:c r="A29" s="27" t="s">
        <x:v>257</x:v>
      </x:c>
      <x:c r="B29" s="28" t="s">
        <x:v>258</x:v>
      </x:c>
      <x:c r="C29" s="28" t="s">
        <x:v>79</x:v>
      </x:c>
      <x:c r="D29" s="28">
        <x:v>1</x:v>
      </x:c>
      <x:c r="E29" s="28">
        <x:v>1</x:v>
      </x:c>
      <x:c r="F29" s="28" t="s">
        <x:v>259</x:v>
      </x:c>
      <x:c r="G29" s="28" t="s">
        <x:v>178</x:v>
      </x:c>
      <x:c r="H29" s="28" t="str">
        <x:v>Passive: Once per round, after a Social Tile removes Strain from a tile, remove 1 additional Strain from that tile. It gains Supported.</x:v>
      </x:c>
      <x:c r="I29" s="28">
        <x:v>5</x:v>
      </x:c>
      <x:c r="J29" s="28">
        <x:v>5</x:v>
      </x:c>
      <x:c r="K29" s="28"/>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customWidth="1"/>
    <x:col min="2" max="2" width="24" customWidth="1"/>
    <x:col min="3" max="3" width="38" customWidth="1"/>
    <x:col min="4" max="4" width="40" customWidth="1"/>
    <x:col min="5" max="5" width="26" customWidth="1"/>
    <x:col min="6" max="6" width="40" customWidth="1"/>
    <x:col min="7" max="7" width="26" customWidth="1"/>
    <x:col min="8" max="8" width="44" customWidth="1"/>
    <x:col min="9" max="9" width="26" customWidth="1"/>
    <x:col min="10" max="10" width="32" customWidth="1"/>
  </x:cols>
  <x:sheetData>
    <x:row r="1" ht="33.599998474121094" hidden="0" customHeight="1">
      <x:c r="A1" s="32" t="s">
        <x:v>260</x:v>
      </x:c>
      <x:c r="B1" s="33"/>
      <x:c r="C1" s="38"/>
      <x:c r="D1" s="33"/>
      <x:c r="E1" s="33"/>
      <x:c r="F1" s="33"/>
      <x:c r="G1" s="33"/>
      <x:c r="H1" s="33"/>
      <x:c r="I1" s="33"/>
      <x:c r="J1" s="34"/>
    </x:row>
    <x:row r="2" ht="21.600000381469727" hidden="0" customHeight="1">
      <x:c r="A2" s="35" t="s">
        <x:v>261</x:v>
      </x:c>
      <x:c r="B2" s="36"/>
      <x:c r="C2" s="36"/>
      <x:c r="D2" s="36"/>
      <x:c r="E2" s="36"/>
      <x:c r="F2" s="36"/>
      <x:c r="G2" s="36"/>
      <x:c r="H2" s="36"/>
      <x:c r="I2" s="36"/>
      <x:c r="J2" s="37"/>
    </x:row>
    <x:row r="3" ht="8.100000381469727" customHeight="1">
      <x:c r="A3" s="23"/>
      <x:c r="B3" s="24"/>
      <x:c r="C3" s="24"/>
      <x:c r="D3" s="24"/>
      <x:c r="E3" s="24"/>
      <x:c r="F3" s="24"/>
      <x:c r="G3" s="24"/>
      <x:c r="H3" s="24"/>
      <x:c r="I3" s="24"/>
      <x:c r="J3" s="25"/>
    </x:row>
    <x:row r="4" ht="30" customHeight="1">
      <x:c r="A4" s="39" t="s">
        <x:v>262</x:v>
      </x:c>
      <x:c r="B4" s="39" t="s">
        <x:v>263</x:v>
      </x:c>
      <x:c r="C4" s="39" t="s">
        <x:v>264</x:v>
      </x:c>
      <x:c r="D4" s="39" t="s">
        <x:v>265</x:v>
      </x:c>
      <x:c r="E4" s="39" t="s">
        <x:v>266</x:v>
      </x:c>
      <x:c r="F4" s="39" t="s">
        <x:v>267</x:v>
      </x:c>
      <x:c r="G4" s="39" t="s">
        <x:v>268</x:v>
      </x:c>
      <x:c r="H4" s="39" t="s">
        <x:v>269</x:v>
      </x:c>
      <x:c r="I4" s="39" t="s">
        <x:v>270</x:v>
      </x:c>
      <x:c r="J4" s="39" t="s">
        <x:v>271</x:v>
      </x:c>
    </x:row>
    <x:row r="5" ht="84" customHeight="1">
      <x:c r="A5" s="40" t="s">
        <x:v>272</x:v>
      </x:c>
      <x:c r="B5" s="29" t="s">
        <x:v>273</x:v>
      </x:c>
      <x:c r="C5" s="29" t="s">
        <x:v>274</x:v>
      </x:c>
      <x:c r="D5" s="29" t="str">
        <x:v>You may pay 2 Metal to remove 1 Strain from any Tile.</x:v>
      </x:c>
      <x:c r="E5" s="29" t="str">
        <x:v>Resolve, then discard.</x:v>
      </x:c>
      <x:c r="F5" s="29" t="str">
        <x:v>You may pay 4 Metal to remove up to 2 Strain from 1 Travel/Housing Tile. It gains Supported.</x:v>
      </x:c>
      <x:c r="G5" s="29" t="str">
        <x:v>Resolve, then discard.</x:v>
      </x:c>
      <x:c r="H5" s="29" t="str">
        <x:v>You may pay 6 Metal to remove up to 3 Strain from up to 2 Travel/Housing Tiles. Each gains Supported.</x:v>
      </x:c>
      <x:c r="I5" s="29" t="str">
        <x:v>Resolve, then discard.</x:v>
      </x:c>
      <x:c r="J5" s="29" t="s">
        <x:v>275</x:v>
      </x:c>
    </x:row>
    <x:row r="6" ht="84" customHeight="1">
      <x:c r="A6" s="2" t="s">
        <x:v>276</x:v>
      </x:c>
      <x:c r="B6" s="1" t="s">
        <x:v>277</x:v>
      </x:c>
      <x:c r="C6" s="1" t="str">
        <x:v>A gate held open for one more moment can change a welcome. Patience did what speed could not and made room for the hesitant, the weary, and the nearly turned away.</x:v>
      </x:c>
      <x:c r="D6" s="1" t="str">
        <x:v>Add 1 timer to an active Arrival (max 3).</x:v>
      </x:c>
      <x:c r="E6" s="1" t="str">
        <x:v>Keep until used or Season end.</x:v>
      </x:c>
      <x:c r="F6" s="1" t="str">
        <x:v>Add up to 2 timers among active Arrivals (max 3 each).</x:v>
      </x:c>
      <x:c r="G6" s="1" t="str">
        <x:v>Keep until used or Season end.</x:v>
      </x:c>
      <x:c r="H6" s="1" t="str">
        <x:v>Add up to 3 timers among active Arrivals (max 3 each).</x:v>
      </x:c>
      <x:c r="I6" s="1" t="str">
        <x:v>Keep until used or Season end.</x:v>
      </x:c>
      <x:c r="J6" s="1" t="s">
        <x:v>278</x:v>
      </x:c>
    </x:row>
    <x:row r="7" ht="84" customHeight="1">
      <x:c r="A7" s="40" t="s">
        <x:v>279</x:v>
      </x:c>
      <x:c r="B7" s="29" t="s">
        <x:v>280</x:v>
      </x:c>
      <x:c r="C7" s="29" t="str">
        <x:v>Doors opened, and newcomers repaid welcome with kindness. A threshold greeting, a helping hand, a cup before questions. These courtesies became customs before anyone named them.</x:v>
      </x:c>
      <x:c r="D7" s="29" t="str">
        <x:v>Next completed Arrival costs 1 fewer Requirement resource.</x:v>
      </x:c>
      <x:c r="E7" s="29" t="str">
        <x:v>Keep until used or Season end.</x:v>
      </x:c>
      <x:c r="F7" s="29" t="str">
        <x:v>Next completed Arrival costs 2 fewer Requirement resources.</x:v>
      </x:c>
      <x:c r="G7" s="29" t="str">
        <x:v>Keep until used or Season end.</x:v>
      </x:c>
      <x:c r="H7" s="29" t="str">
        <x:v>Next completed Arrival costs 3 fewer Requirement resources.</x:v>
      </x:c>
      <x:c r="I7" s="29" t="str">
        <x:v>Keep until used or Season end.</x:v>
      </x:c>
      <x:c r="J7" s="29" t="s">
        <x:v>281</x:v>
      </x:c>
    </x:row>
    <x:row r="8" ht="60" hidden="0" customHeight="1">
      <x:c r="A8" s="2" t="s">
        <x:v>282</x:v>
      </x:c>
      <x:c r="B8" s="1" t="s">
        <x:v>283</x:v>
      </x:c>
      <x:c r="C8" s="1" t="str">
        <x:v>Under the fallen vaults waited watermarked pages, star charts, and delicate tools. Though damp had touched them, their knowledge endured to guide our harvests and craft.</x:v>
      </x:c>
      <x:c r="D8" s="1" t="str">
        <x:v>Gain 1 Metal or 1 Goods. If a Salvage Tile is placed, one gains Supported.</x:v>
      </x:c>
      <x:c r="E8" s="1" t="str">
        <x:v>Resolve, then discard.</x:v>
      </x:c>
      <x:c r="F8" s="1" t="str">
        <x:v>Gain 1 Metal and 1 Goods. Then −1 Strain from a Salvage Tile or a Tile adjacent to Ruins.</x:v>
      </x:c>
      <x:c r="G8" s="1" t="str">
        <x:v>Resolve, then discard.</x:v>
      </x:c>
      <x:c r="H8" s="1" t="str">
        <x:v>Gain 2 Metal and 2 Goods. Then −1 Strain from each of up to 2 Salvage or Ruins-adjacent Tiles.</x:v>
      </x:c>
      <x:c r="I8" s="1" t="str">
        <x:v>Resolve, then discard.</x:v>
      </x:c>
      <x:c r="J8" s="1" t="str">
        <x:v>Salvage Camp / Reclamation Works</x:v>
      </x:c>
    </x:row>
    <x:row r="9" ht="84" customHeight="1">
      <x:c r="A9" s="40" t="s">
        <x:v>284</x:v>
      </x:c>
      <x:c r="B9" s="29" t="s">
        <x:v>285</x:v>
      </x:c>
      <x:c r="C9" s="29" t="str">
        <x:v>At dawn the first harvest seemed modest. By midday it exceeded all counts. By evening, bread and broth scented the streets. Shared baskets made the Vale feel like home.</x:v>
      </x:c>
      <x:c r="D9" s="29" t="str">
        <x:v>Next Farm Production: +1 Food.</x:v>
      </x:c>
      <x:c r="E9" s="29" t="str">
        <x:v>Keep until used or Season end.</x:v>
      </x:c>
      <x:c r="F9" s="29" t="str">
        <x:v>Next 2 Farm Productions: +1 Food and +1 Goods each.</x:v>
      </x:c>
      <x:c r="G9" s="29" t="str">
        <x:v>Keep until 2 uses or Season end.</x:v>
      </x:c>
      <x:c r="H9" s="29" t="str">
        <x:v>Each Farm Production this round: +2 Food or Goods.</x:v>
      </x:c>
      <x:c r="I9" s="29" t="str">
        <x:v>Keep until round end, then discard.</x:v>
      </x:c>
      <x:c r="J9" s="29" t="s">
        <x:v>286</x:v>
      </x:c>
    </x:row>
    <x:row r="10" ht="84" customHeight="1">
      <x:c r="A10" s="2" t="s">
        <x:v>287</x:v>
      </x:c>
      <x:c r="B10" s="1" t="s">
        <x:v>288</x:v>
      </x:c>
      <x:c r="C10" s="1" t="s">
        <x:v>289</x:v>
      </x:c>
      <x:c r="D10" s="1" t="str">
        <x:v>Next Production by a Resource Tile beside Travel costs 0 Actions.</x:v>
      </x:c>
      <x:c r="E10" s="1" t="str">
        <x:v>Keep until used or Season end.</x:v>
      </x:c>
      <x:c r="F10" s="1" t="str">
        <x:v>Next Crafting/Merchant Passive beside Travel may apply once extra.</x:v>
      </x:c>
      <x:c r="G10" s="1" t="str">
        <x:v>Keep until used or Season end.</x:v>
      </x:c>
      <x:c r="H10" s="1" t="str">
        <x:v>Each use: Resource beside Travel produces for 0 Actions, or Crafting/Merchant beside Travel triggers twice.</x:v>
      </x:c>
      <x:c r="I10" s="1" t="str">
        <x:v>Keep until 2 uses or Season end.</x:v>
      </x:c>
      <x:c r="J10" s="1" t="s">
        <x:v>290</x:v>
      </x:c>
    </x:row>
    <x:row r="11" ht="84" customHeight="1">
      <x:c r="A11" s="40" t="s">
        <x:v>291</x:v>
      </x:c>
      <x:c r="B11" s="29" t="s">
        <x:v>292</x:v>
      </x:c>
      <x:c r="C11" s="29" t="str">
        <x:v>Under a clear night sky, lamps burned late above maps and ledgers. Knotted choices loosened into plans, and by dawn the settlement was ready to move.</x:v>
      </x:c>
      <x:c r="D11" s="29" t="str">
        <x:v>Look at the top 2 Encounter Cards. Return them in any order.</x:v>
      </x:c>
      <x:c r="E11" s="29" t="str">
        <x:v>Resolve, then discard.</x:v>
      </x:c>
      <x:c r="F11" s="29" t="str">
        <x:v>Look at the top 3 Encounter Cards. Return them in any order.</x:v>
      </x:c>
      <x:c r="G11" s="29" t="str">
        <x:v>Resolve, then discard.</x:v>
      </x:c>
      <x:c r="H11" s="29" t="str">
        <x:v>Look at the top 4 Encounter Cards. Return them in any order. You may move 1 to the top.</x:v>
      </x:c>
      <x:c r="I11" s="29" t="str">
        <x:v>Resolve, then discard.</x:v>
      </x:c>
      <x:c r="J11" s="29" t="s">
        <x:v>293</x:v>
      </x:c>
    </x:row>
    <x:row r="12" ht="84" customHeight="1">
      <x:c r="A12" s="2" t="s">
        <x:v>294</x:v>
      </x:c>
      <x:c r="B12" s="1" t="s">
        <x:v>295</x:v>
      </x:c>
      <x:c r="C12" s="1" t="str">
        <x:v>The square filled with tools, cloth, carvings, and cookfires. Craftsfolk shared their pride and skill, and neighbours who came only to look left carrying new knowledge.</x:v>
      </x:c>
      <x:c r="D12" s="1" t="str">
        <x:v>Next Crafting place/upgrade: −1 resource. If beside Housing, that Housing gains Supported.</x:v>
      </x:c>
      <x:c r="E12" s="1" t="str">
        <x:v>Keep until used or Season end.</x:v>
      </x:c>
      <x:c r="F12" s="1" t="str">
        <x:v>Next Crafting place/upgrade: −2 resources. If beside Housing/Merchant, −1 Strain from an adjacent Tile.</x:v>
      </x:c>
      <x:c r="G12" s="1" t="str">
        <x:v>Keep until used or Season end.</x:v>
      </x:c>
      <x:c r="H12" s="1" t="str">
        <x:v>Next Crafting place/upgrade: 0 resources. If beside Housing/Merchant, up to 2 neighbours gain Supported.</x:v>
      </x:c>
      <x:c r="I12" s="1" t="str">
        <x:v>Keep until used or Season end.</x:v>
      </x:c>
      <x:c r="J12" s="1" t="s">
        <x:v>296</x:v>
      </x:c>
    </x:row>
    <x:row r="13" ht="84" customHeight="1">
      <x:c r="A13" s="40" t="s">
        <x:v>297</x:v>
      </x:c>
      <x:c r="B13" s="29" t="s">
        <x:v>298</x:v>
      </x:c>
      <x:c r="C13" s="29" t="str">
        <x:v>Lanterns lit the market as goods changed hands and laughter rose between the stalls. By dusk, honest bargains and small wonders renewed the settlement’s faith in trade.</x:v>
      </x:c>
      <x:c r="D13" s="29" t="str">
        <x:v>Choose a Merchant: +1 Goods per adjacent Tile category (max 2).</x:v>
      </x:c>
      <x:c r="E13" s="29" t="str">
        <x:v>Resolve, then discard.</x:v>
      </x:c>
      <x:c r="F13" s="29" t="str">
        <x:v>Choose a Merchant: +1 Goods per adjacent Tile category (max 4). One adjacent Housing gains Supported.</x:v>
      </x:c>
      <x:c r="G13" s="29" t="str">
        <x:v>Resolve, then discard.</x:v>
      </x:c>
      <x:c r="H13" s="29" t="str">
        <x:v>Choose a Merchant: +1 Goods per adjacent Tile category (max 6). One adjacent Housing gains Supported.</x:v>
      </x:c>
      <x:c r="I13" s="29" t="str">
        <x:v>Resolve, then discard.</x:v>
      </x:c>
      <x:c r="J13" s="29" t="s">
        <x:v>299</x:v>
      </x:c>
    </x:row>
    <x:row r="14" ht="84" customHeight="1">
      <x:c r="A14" s="2" t="s">
        <x:v>300</x:v>
      </x:c>
      <x:c r="B14" s="1" t="s">
        <x:v>301</x:v>
      </x:c>
      <x:c r="C14" s="1" t="str">
        <x:v>Shared meals and mended fences softened quarrels no order could settle. Trust returned by degrees, carried between neighbours in bowls of stew and quiet apologies.</x:v>
      </x:c>
      <x:c r="D14" s="1" t="str">
        <x:v>Choose 1 Housing Tile: it gains Supported. If in a Housing cluster, −1 Strain from it.</x:v>
      </x:c>
      <x:c r="E14" s="1" t="str">
        <x:v>Resolve, then discard.</x:v>
      </x:c>
      <x:c r="F14" s="1" t="str">
        <x:v>Choose up to 2 Housing Tiles: each gains Supported. If in a Housing cluster, −1 Strain from that Tile.</x:v>
      </x:c>
      <x:c r="G14" s="1" t="str">
        <x:v>Resolve, then discard.</x:v>
      </x:c>
      <x:c r="H14" s="1" t="str">
        <x:v>Choose a Housing cluster: up to 3 Tiles gain Supported. Remove up to 2 Strain among them.</x:v>
      </x:c>
      <x:c r="I14" s="1" t="str">
        <x:v>Resolve, then discard.</x:v>
      </x:c>
      <x:c r="J14" s="1" t="s">
        <x:v>302</x:v>
      </x:c>
    </x:row>
    <x:row r="15" ht="84" customHeight="1">
      <x:c r="A15" s="40" t="s">
        <x:v>303</x:v>
      </x:c>
      <x:c r="B15" s="29" t="s">
        <x:v>304</x:v>
      </x:c>
      <x:c r="C15" s="29" t="str">
        <x:v>Strain bent the Vale without breaking it. Every weakness revealed someone ready to mend it, and quiet repairs began before despair could take root.</x:v>
      </x:c>
      <x:c r="D15" s="29" t="str">
        <x:v>Remove up to 2 Strain from 1 Overstrained Tile. If none, −1 Strain from any Tile.</x:v>
      </x:c>
      <x:c r="E15" s="29" t="str">
        <x:v>Resolve, then discard.</x:v>
      </x:c>
      <x:c r="F15" s="29" t="str">
        <x:v>Remove up to 2 Strain from 1 Overstrained Tile. If none, −1 Strain from up to 2 Tiles.</x:v>
      </x:c>
      <x:c r="G15" s="29" t="str">
        <x:v>Resolve, then discard.</x:v>
      </x:c>
      <x:c r="H15" s="29" t="str">
        <x:v>Remove up to 2 Strain from each of up to 2 Overstrained Tiles. If none, −1 Strain from up to 3 Tiles.</x:v>
      </x:c>
      <x:c r="I15" s="29" t="str">
        <x:v>Resolve, then discard.</x:v>
      </x:c>
      <x:c r="J15" s="29" t="s">
        <x:v>305</x:v>
      </x:c>
    </x:row>
    <x:row r="16" ht="84" customHeight="1">
      <x:c r="A16" s="2" t="s">
        <x:v>306</x:v>
      </x:c>
      <x:c r="B16" s="1" t="s">
        <x:v>307</x:v>
      </x:c>
      <x:c r="C16" s="1" t="s">
        <x:v>308</x:v>
      </x:c>
      <x:c r="D16" s="1" t="str">
        <x:v>If a Resource Tile connects to a Crafting/Merchant Tile, gain 2 Goods.</x:v>
      </x:c>
      <x:c r="E16" s="1" t="str">
        <x:v>Resolve, then discard.</x:v>
      </x:c>
      <x:c r="F16" s="1" t="str">
        <x:v>If Resource, Crafting and Merchant Tiles form a connected group, gain 3 Goods.</x:v>
      </x:c>
      <x:c r="G16" s="1" t="str">
        <x:v>Resolve, then discard.</x:v>
      </x:c>
      <x:c r="H16" s="1" t="str">
        <x:v>If Resource, Crafting and Merchant Tiles form a connected group, gain 4 Goods.</x:v>
      </x:c>
      <x:c r="I16" s="1" t="str">
        <x:v>Resolve, then discard.</x:v>
      </x:c>
      <x:c r="J16" s="1" t="s">
        <x:v>309</x:v>
      </x:c>
    </x:row>
    <x:row r="17" ht="84" customHeight="1">
      <x:c r="A17" s="40" t="s">
        <x:v>310</x:v>
      </x:c>
      <x:c r="B17" s="29" t="s">
        <x:v>311</x:v>
      </x:c>
      <x:c r="C17" s="29" t="s">
        <x:v>312</x:v>
      </x:c>
      <x:c r="D17" s="29" t="str">
        <x:v>Next Tile placed costs 1 fewer resource.</x:v>
      </x:c>
      <x:c r="E17" s="29" t="str">
        <x:v>Keep until used or Season end.</x:v>
      </x:c>
      <x:c r="F17" s="29" t="str">
        <x:v>Next 2 Tiles placed cost 1 fewer resource each.</x:v>
      </x:c>
      <x:c r="G17" s="29" t="str">
        <x:v>Keep until 2 uses or Season end.</x:v>
      </x:c>
      <x:c r="H17" s="29" t="str">
        <x:v>Next 2 Tiles placed/upgraded cost 2 fewer resources each.</x:v>
      </x:c>
      <x:c r="I17" s="29" t="str">
        <x:v>Keep until 2 uses or Season end.</x:v>
      </x:c>
      <x:c r="J17" s="29" t="s">
        <x:v>313</x:v>
      </x:c>
    </x:row>
    <x:row r="18" ht="84" customHeight="1">
      <x:c r="A18" s="2" t="s">
        <x:v>314</x:v>
      </x:c>
      <x:c r="B18" s="1" t="s">
        <x:v>315</x:v>
      </x:c>
      <x:c r="C18" s="1" t="str">
        <x:v>Our spades struck foundations older than memory, their stones firm beneath the soil. The hands that laid them are gone, yet their careful work still carries the Vale.</x:v>
      </x:c>
      <x:c r="D18" s="1" t="str">
        <x:v>Next Housing placed gains Supported. If beside Ruins, −1 Strain from a neighbouring Tile.</x:v>
      </x:c>
      <x:c r="E18" s="1" t="str">
        <x:v>Keep until used or Season end.</x:v>
      </x:c>
      <x:c r="F18" s="1" t="str">
        <x:v>Next Housing placed gains Supported. If beside Ruins/Housing, remove up to 2 Strain from neighbours.</x:v>
      </x:c>
      <x:c r="G18" s="1" t="str">
        <x:v>Keep until used or Season end.</x:v>
      </x:c>
      <x:c r="H18" s="1" t="str">
        <x:v>Next Housing place/upgrade gains Supported. Beside Ruins/Housing: remove up to 3 Strain from neighbours.</x:v>
      </x:c>
      <x:c r="I18" s="1" t="str">
        <x:v>Keep until used or Season end.</x:v>
      </x:c>
      <x:c r="J18" s="1" t="s">
        <x:v>316</x:v>
      </x:c>
    </x:row>
    <x:row r="19" ht="84" customHeight="1">
      <x:c r="A19" s="40" t="s">
        <x:v>317</x:v>
      </x:c>
      <x:c r="B19" s="29" t="s">
        <x:v>318</x:v>
      </x:c>
      <x:c r="C19" s="29" t="str">
        <x:v>The stone yielded after weeks beneath the pickaxe. Miners emerged grey with dust and bright with pride. Beyond the broken wall, a passage wound into promising depths.</x:v>
      </x:c>
      <x:c r="D19" s="29" t="str">
        <x:v>Next Mine Production: +1 Stone.</x:v>
      </x:c>
      <x:c r="E19" s="29" t="str">
        <x:v>Keep until used or Season end.</x:v>
      </x:c>
      <x:c r="F19" s="29" t="str">
        <x:v>Next 2 Mine Productions: +1 Stone and +1 Metal each.</x:v>
      </x:c>
      <x:c r="G19" s="29" t="str">
        <x:v>Keep until 2 uses or Season end.</x:v>
      </x:c>
      <x:c r="H19" s="29" t="str">
        <x:v>Each Mine Production this round: +2 Stone or Metal.</x:v>
      </x:c>
      <x:c r="I19" s="29" t="str">
        <x:v>Keep until round end, then discard.</x:v>
      </x:c>
      <x:c r="J19" s="29" t="s">
        <x:v>319</x:v>
      </x:c>
    </x:row>
    <x:row r="20" ht="84" customHeight="1">
      <x:c r="A20" s="2" t="s">
        <x:v>320</x:v>
      </x:c>
      <x:c r="B20" s="1" t="s">
        <x:v>321</x:v>
      </x:c>
      <x:c r="C20" s="1" t="s">
        <x:v>322</x:v>
      </x:c>
      <x:c r="D20" s="1" t="str">
        <x:v>Next Core upgrade costs 1 fewer resource.</x:v>
      </x:c>
      <x:c r="E20" s="1" t="str">
        <x:v>Keep until used or Season end.</x:v>
      </x:c>
      <x:c r="F20" s="1" t="str">
        <x:v>Next Core upgrade costs 2 fewer resources.</x:v>
      </x:c>
      <x:c r="G20" s="1" t="str">
        <x:v>Keep until used or Season end.</x:v>
      </x:c>
      <x:c r="H20" s="1" t="str">
        <x:v>Next Core upgrade costs 3 fewer resources.</x:v>
      </x:c>
      <x:c r="I20" s="1" t="str">
        <x:v>Keep until used or Season end.</x:v>
      </x:c>
      <x:c r="J20" s="1" t="s">
        <x:v>323</x:v>
      </x:c>
    </x:row>
    <x:row r="21" ht="84" customHeight="1">
      <x:c r="A21" s="40" t="s">
        <x:v>324</x:v>
      </x:c>
      <x:c r="B21" s="29" t="s">
        <x:v>325</x:v>
      </x:c>
      <x:c r="C21" s="29" t="str">
        <x:v>No single deed saved the day. A beam lifted here, a pail carried there, a hinge repaired before dusk. Together, these small efforts became more than their sum.</x:v>
      </x:c>
      <x:c r="D21" s="29" t="str">
        <x:v>Next Burden resolved costs 2 fewer resources.</x:v>
      </x:c>
      <x:c r="E21" s="29" t="str">
        <x:v>Keep until used or Season end.</x:v>
      </x:c>
      <x:c r="F21" s="29" t="str">
        <x:v>Next Burden resolved costs 4 fewer resources.</x:v>
      </x:c>
      <x:c r="G21" s="29" t="str">
        <x:v>Keep until used or Season end.</x:v>
      </x:c>
      <x:c r="H21" s="29" t="str">
        <x:v>Next Burden resolved costs 6 fewer resources.</x:v>
      </x:c>
      <x:c r="I21" s="29" t="str">
        <x:v>Keep until used or Season end.</x:v>
      </x:c>
      <x:c r="J21" s="29" t="s">
        <x:v>326</x:v>
      </x:c>
    </x:row>
    <x:row r="22" ht="84" customHeight="1">
      <x:c r="A22" s="2" t="s">
        <x:v>327</x:v>
      </x:c>
      <x:c r="B22" s="1" t="s">
        <x:v>328</x:v>
      </x:c>
      <x:c r="C22" s="1" t="str">
        <x:v>At dawn we found the shelters battered but standing. Every mended beam and patched wall had held through the night, proving that care given early is never wasted.</x:v>
      </x:c>
      <x:c r="D22" s="1" t="str">
        <x:v>−1 Strain from 1 Supported Tile.</x:v>
      </x:c>
      <x:c r="E22" s="1" t="str">
        <x:v>Resolve, then discard.</x:v>
      </x:c>
      <x:c r="F22" s="1" t="str">
        <x:v>Remove 1 Strain from up to 2 Supported Tiles.</x:v>
      </x:c>
      <x:c r="G22" s="1" t="str">
        <x:v>Resolve, then discard.</x:v>
      </x:c>
      <x:c r="H22" s="1" t="str">
        <x:v>Remove 1 Strain from up to 3 Supported Tiles.</x:v>
      </x:c>
      <x:c r="I22" s="1" t="str">
        <x:v>Resolve, then discard.</x:v>
      </x:c>
      <x:c r="J22" s="1" t="s">
        <x:v>329</x:v>
      </x:c>
    </x:row>
    <x:row r="23" ht="84" customHeight="1">
      <x:c r="A23" s="40" t="s">
        <x:v>330</x:v>
      </x:c>
      <x:c r="B23" s="29" t="s">
        <x:v>331</x:v>
      </x:c>
      <x:c r="C23" s="29" t="str">
        <x:v>Our stores held little excess, yet everything was dry, counted, and in its proper place. When trouble came looking for weakness, careful records gave it none.</x:v>
      </x:c>
      <x:c r="D23" s="29" t="str">
        <x:v>Exchange up to 2 Warehouse resources for the same number of any resource types.</x:v>
      </x:c>
      <x:c r="E23" s="29" t="str">
        <x:v>Resolve, then discard.</x:v>
      </x:c>
      <x:c r="F23" s="29" t="str">
        <x:v>Exchange up to 4 Warehouse resources for the same number of any resource types.</x:v>
      </x:c>
      <x:c r="G23" s="29" t="str">
        <x:v>Resolve, then discard.</x:v>
      </x:c>
      <x:c r="H23" s="29" t="str">
        <x:v>Exchange up to 6 Warehouse resources for the same number of any resource types.</x:v>
      </x:c>
      <x:c r="I23" s="29" t="str">
        <x:v>Resolve, then discard.</x:v>
      </x:c>
      <x:c r="J23" s="29" t="s">
        <x:v>332</x:v>
      </x:c>
    </x:row>
    <x:row r="24" ht="84" customHeight="1">
      <x:c r="A24" s="2" t="s">
        <x:v>333</x:v>
      </x:c>
      <x:c r="B24" s="1" t="s">
        <x:v>334</x:v>
      </x:c>
      <x:c r="C24" s="1" t="str">
        <x:v>Careful cutting let the woodland breathe. Under bramble and leaf mould, forgotten paths emerged, leading toward hidden groves and trails the Vale had long abandoned.</x:v>
      </x:c>
      <x:c r="D24" s="1" t="str">
        <x:v>Next Lumber Production: +1 Wood.</x:v>
      </x:c>
      <x:c r="E24" s="1" t="str">
        <x:v>Keep until used or Season end.</x:v>
      </x:c>
      <x:c r="F24" s="1" t="str">
        <x:v>Next 2 Lumber Productions: +2 Wood each.</x:v>
      </x:c>
      <x:c r="G24" s="1" t="str">
        <x:v>Keep until 2 uses or Season end.</x:v>
      </x:c>
      <x:c r="H24" s="1" t="str">
        <x:v>Each Lumber Production this round: +2 Wood or Food.</x:v>
      </x:c>
      <x:c r="I24" s="1" t="str">
        <x:v>Keep until round end, then discard.</x:v>
      </x:c>
      <x:c r="J24" s="1" t="s">
        <x:v>335</x:v>
      </x:c>
    </x:row>
    <x:row r="25" ht="84" customHeight="1">
      <x:c r="A25" s="40" t="s">
        <x:v>336</x:v>
      </x:c>
      <x:c r="B25" s="29" t="s">
        <x:v>337</x:v>
      </x:c>
      <x:c r="C25" s="29" t="str">
        <x:v>The apprentice asked more questions than I could answer. Three ledgers and a day of close observation later, their sharp eyes had found gaps I had missed.</x:v>
      </x:c>
      <x:c r="D25" s="29" t="str">
        <x:v>Place next Resource Tile for 0 Actions.</x:v>
      </x:c>
      <x:c r="E25" s="29" t="str">
        <x:v>Keep until used or Season end.</x:v>
      </x:c>
      <x:c r="F25" s="29" t="str">
        <x:v>Place next Resource/Housing Tile for 0 Actions.</x:v>
      </x:c>
      <x:c r="G25" s="29" t="str">
        <x:v>Keep until used or Season end.</x:v>
      </x:c>
      <x:c r="H25" s="29" t="str">
        <x:v>Place next Tile for 0 Actions.</x:v>
      </x:c>
      <x:c r="I25" s="29" t="str">
        <x:v>Keep until used or Season end.</x:v>
      </x:c>
      <x:c r="J25" s="29" t="s">
        <x:v>338</x:v>
      </x:c>
    </x:row>
    <x:row r="26" ht="84" customHeight="1">
      <x:c r="A26" s="2" t="s">
        <x:v>339</x:v>
      </x:c>
      <x:c r="B26" s="1" t="s">
        <x:v>340</x:v>
      </x:c>
      <x:c r="C26" s="1" t="str">
        <x:v>Rain held the Vale quiet for a day and night. When clouds cleared, moss had thickened, herbs had risen, and the softened ground answered with green abundance.</x:v>
      </x:c>
      <x:c r="D26" s="1" t="str">
        <x:v>Next Gathering Production: +1 Herbs.</x:v>
      </x:c>
      <x:c r="E26" s="1" t="str">
        <x:v>Keep until used or Season end.</x:v>
      </x:c>
      <x:c r="F26" s="1" t="str">
        <x:v>Next 2 Gathering Productions: +2 Herbs each.</x:v>
      </x:c>
      <x:c r="G26" s="1" t="str">
        <x:v>Keep until 2 uses or Season end.</x:v>
      </x:c>
      <x:c r="H26" s="1" t="str">
        <x:v>Each Gathering Production this round: +2 Herbs or Food.</x:v>
      </x:c>
      <x:c r="I26" s="1" t="str">
        <x:v>Keep until round end, then discard.</x:v>
      </x:c>
      <x:c r="J26" s="1" t="s">
        <x:v>341</x:v>
      </x:c>
    </x:row>
    <x:row r="27" ht="84" customHeight="1">
      <x:c r="A27" s="40" t="s">
        <x:v>342</x:v>
      </x:c>
      <x:c r="B27" s="29" t="s">
        <x:v>343</x:v>
      </x:c>
      <x:c r="C27" s="29" t="str">
        <x:v>Herbal smoke curled above the roofs after dark. Careful hands prepared tonics and poultices through the night. By morning, sickrooms were quieter and the Vale stronger.</x:v>
      </x:c>
      <x:c r="D27" s="29" t="str">
        <x:v>You may pay 2 Herbs to remove 1 Strain from any Tile.</x:v>
      </x:c>
      <x:c r="E27" s="29" t="str">
        <x:v>Resolve, then discard.</x:v>
      </x:c>
      <x:c r="F27" s="29" t="str">
        <x:v>You may pay 4 Herbs to remove up to 2 Strain from any Tile.</x:v>
      </x:c>
      <x:c r="G27" s="29" t="str">
        <x:v>Resolve, then discard.</x:v>
      </x:c>
      <x:c r="H27" s="29" t="str">
        <x:v>You may pay 6 Herbs to remove up to 3 Strain from up to 2 Tiles.</x:v>
      </x:c>
      <x:c r="I27" s="29" t="str">
        <x:v>Resolve, then discard.</x:v>
      </x:c>
      <x:c r="J27" s="29" t="s">
        <x:v>344</x:v>
      </x:c>
    </x:row>
    <x:row r="28" ht="84" customHeight="1">
      <x:c r="A28" s="2" t="s">
        <x:v>345</x:v>
      </x:c>
      <x:c r="B28" s="1" t="s">
        <x:v>346</x:v>
      </x:c>
      <x:c r="C28" s="1" t="str">
        <x:v>What the settlement could spare was divided into modest parcels and sent where need was greatest. Our stores diminished, yet the kindness they carried multiplied across the Vale.</x:v>
      </x:c>
      <x:c r="D28" s="1" t="str">
        <x:v>Choose 3+ connected, non-Overstrained Tiles: −1 Strain from one. If none, gain 2 Food or Goods.</x:v>
      </x:c>
      <x:c r="E28" s="1" t="str">
        <x:v>Resolve, then discard.</x:v>
      </x:c>
      <x:c r="F28" s="1" t="str">
        <x:v>4+ connected, non-Overstrained Tiles: remove up to 2 Strain among them. If none, gain 3 Food/Goods.</x:v>
      </x:c>
      <x:c r="G28" s="1" t="str">
        <x:v>Resolve, then discard.</x:v>
      </x:c>
      <x:c r="H28" s="1" t="str">
        <x:v>5+ connected, non-Overstrained Tiles: remove up to 3 Strain among them. If none, gain 5 Food/Goods.</x:v>
      </x:c>
      <x:c r="I28" s="1" t="str">
        <x:v>Resolve, then discard.</x:v>
      </x:c>
      <x:c r="J28" s="1" t="s">
        <x:v>347</x:v>
      </x:c>
    </x:row>
    <x:row r="29" ht="84" customHeight="1">
      <x:c r="A29" s="40" t="s">
        <x:v>348</x:v>
      </x:c>
      <x:c r="B29" s="29" t="s">
        <x:v>349</x:v>
      </x:c>
      <x:c r="C29" s="29" t="str">
        <x:v>The Vale fell quiet beneath a clear night sky. We followed the stars across our maps until uncertain routes became plans and guesses gave way to purpose.</x:v>
      </x:c>
      <x:c r="D29" s="29" t="str">
        <x:v>Look at the top 5 Encounter Cards. Keep their order, but you may move 1 to the bottom.</x:v>
      </x:c>
      <x:c r="E29" s="29" t="str">
        <x:v>Resolve, then discard.</x:v>
      </x:c>
      <x:c r="F29" s="29" t="str">
        <x:v>Look at the top 5 Encounter Cards. Return them in any order.</x:v>
      </x:c>
      <x:c r="G29" s="29" t="str">
        <x:v>Resolve, then discard.</x:v>
      </x:c>
      <x:c r="H29" s="29" t="str">
        <x:v>Look through the remaining Encounter Deck. Return it in any order.</x:v>
      </x:c>
      <x:c r="I29" s="29" t="str">
        <x:v>Resolve, then discard.</x:v>
      </x:c>
      <x:c r="J29" s="29" t="s">
        <x:v>293</x:v>
      </x:c>
    </x:row>
    <x:row r="30" ht="84" customHeight="1">
      <x:c r="A30" s="2" t="s">
        <x:v>350</x:v>
      </x:c>
      <x:c r="B30" s="1" t="s">
        <x:v>351</x:v>
      </x:c>
      <x:c r="C30" s="1" t="str">
        <x:v>The roads filled slowly. A traveller, a wagon, whole families. With every new voice, paths once ruled by fear became threads joining the Vale to the wider world.</x:v>
      </x:c>
      <x:c r="D30" s="1" t="str">
        <x:v>Place next Travel Tile for 0 Actions.</x:v>
      </x:c>
      <x:c r="E30" s="1" t="str">
        <x:v>Keep until used or Season end.</x:v>
      </x:c>
      <x:c r="F30" s="1" t="str">
        <x:v>Place or upgrade next Travel Tile for 0 Actions.</x:v>
      </x:c>
      <x:c r="G30" s="1" t="str">
        <x:v>Keep until used or Season end.</x:v>
      </x:c>
      <x:c r="H30" s="1" t="str">
        <x:v>Place or upgrade next Travel Tile for 0 Actions.</x:v>
      </x:c>
      <x:c r="I30" s="1" t="str">
        <x:v>Keep until used or Season end.</x:v>
      </x:c>
      <x:c r="J30" s="1" t="s">
        <x:v>352</x:v>
      </x:c>
    </x:row>
    <x:row r="31" ht="84" customHeight="1">
      <x:c r="A31" s="40" t="s">
        <x:v>353</x:v>
      </x:c>
      <x:c r="B31" s="29" t="s">
        <x:v>354</x:v>
      </x:c>
      <x:c r="C31" s="29" t="str">
        <x:v>They stayed when others might have moved on. Broken beams were lifted, tools gathered, and frightened faces steadied. By evening, trouble had begun to resemble recovery.</x:v>
      </x:c>
      <x:c r="D31" s="29" t="str">
        <x:v>Each Steward-occupied Tile: −1 Strain. If it had none, gain 1 resource (max 2 total).</x:v>
      </x:c>
      <x:c r="E31" s="29" t="str">
        <x:v>Resolve, then discard.</x:v>
      </x:c>
      <x:c r="F31" s="29" t="str">
        <x:v>Each Steward-occupied Tile: −1 Strain. If it had none, gain 2 resources (max 4 total).</x:v>
      </x:c>
      <x:c r="G31" s="29" t="str">
        <x:v>Resolve, then discard.</x:v>
      </x:c>
      <x:c r="H31" s="29" t="str">
        <x:v>Each Steward-occupied Tile: −1 Strain. If it had none, gain 3 resources (max 6 total).</x:v>
      </x:c>
      <x:c r="I31" s="29" t="str">
        <x:v>Resolve, then discard.</x:v>
      </x:c>
      <x:c r="J31" s="29" t="s">
        <x:v>355</x:v>
      </x:c>
    </x:row>
    <x:row r="32" ht="84" customHeight="1">
      <x:c r="A32" s="151" t="str">
        <x:v>boon_change_of_watch</x:v>
      </x:c>
      <x:c r="B32" s="156" t="str">
        <x:v>Change of Watch</x:v>
      </x:c>
      <x:c r="C32" s="156" t="str">
        <x:v>At dusk, one watch ended and another began. Notes, keys and a lantern changed hands. Around the new watch, the Vale quietened into the deep sleep that restores weary minds.</x:v>
      </x:c>
      <x:c r="D32" s="156" t="str">
        <x:v>Move your Steward to another non-Overstrained Tile. It gains Supported.</x:v>
      </x:c>
      <x:c r="E32" s="156" t="str">
        <x:v>Keep until used or Season end.</x:v>
      </x:c>
      <x:c r="F32" s="156" t="str">
        <x:v>Move your Steward to another non-Overstrained Tile. It gains Supported. Remove 1 Strain from it.</x:v>
      </x:c>
      <x:c r="G32" s="156" t="str">
        <x:v>Keep until used or Season end.</x:v>
      </x:c>
      <x:c r="H32" s="156" t="str">
        <x:v>Move your Steward to another Tile. Remove up to 2 Strain from it. It gains Supported.</x:v>
      </x:c>
      <x:c r="I32" s="156" t="str">
        <x:v>Keep until used or Season end.</x:v>
      </x:c>
      <x:c r="J32" s="156" t="str">
        <x:v>Steward / placed Tile</x:v>
      </x:c>
    </x:row>
    <x:row r="33" ht="84" customHeight="1">
      <x:c r="A33" s="162" t="str">
        <x:v>boon_the_break_holds</x:v>
      </x:c>
      <x:c r="B33" s="167" t="str">
        <x:v>The Break Holds</x:v>
      </x:c>
      <x:c r="C33" s="167" t="str">
        <x:v>Before the dry winds came, neighbours cleared broad breaks between woodland and roofs. The felled timber was stacked for use. When fire came, it found open ground and went no farther.</x:v>
      </x:c>
      <x:c r="D33" s="167" t="str">
        <x:v>Gain 3 Wood. Next Tile that becomes Overstrained does not spread Strain.</x:v>
      </x:c>
      <x:c r="E33" s="167" t="str">
        <x:v>Keep until used or Season end.</x:v>
      </x:c>
      <x:c r="F33" s="167" t="str">
        <x:v>Gain 2 Wood. Next 2 Tiles that become Overstrained do not spread Strain.</x:v>
      </x:c>
      <x:c r="G33" s="167" t="str">
        <x:v>Keep until 2 uses or Season end.</x:v>
      </x:c>
      <x:c r="H33" s="167" t="str">
        <x:v>Gain 1 Wood. Tiles that become Overstrained this round do not spread Strain.</x:v>
      </x:c>
      <x:c r="I33" s="167" t="str">
        <x:v>Keep until round end, then discard.</x:v>
      </x:c>
      <x:c r="J33" s="167" t="str">
        <x:v>Warehouse / Overstrained Tile / Strain spread</x:v>
      </x:c>
    </x:row>
    <x:row r="34" ht="84" customHeight="1">
      <x:c r="A34" s="151" t="str">
        <x:v>boon_answers_made_ready</x:v>
      </x:c>
      <x:c r="B34" s="156" t="str">
        <x:v>Answers Made Ready</x:v>
      </x:c>
      <x:c r="C34" s="156" t="str">
        <x:v>Before any request was spoken, neighbours laid out tools, blankets, ledgers and meals. When need reached the door, the Vale already had an answer waiting.</x:v>
      </x:c>
      <x:c r="D34" s="156" t="str">
        <x:v>Next Arrival completion or Burden resolution costs 0 Actions.</x:v>
      </x:c>
      <x:c r="E34" s="156" t="str">
        <x:v>Keep until used or Season end.</x:v>
      </x:c>
      <x:c r="F34" s="156" t="str">
        <x:v>Next 2 Arrival completions and/or Burden resolutions cost 0 Actions each.</x:v>
      </x:c>
      <x:c r="G34" s="156" t="str">
        <x:v>Keep until 2 uses or Season end.</x:v>
      </x:c>
      <x:c r="H34" s="156" t="str">
        <x:v>Next 2 Arrival completions and/or Burden resolutions cost 0 Actions and 2 fewer resources each.</x:v>
      </x:c>
      <x:c r="I34" s="156" t="str">
        <x:v>Keep until 2 uses or Season end.</x:v>
      </x:c>
      <x:c r="J34" s="156" t="str">
        <x:v>Arrival / active Burden / Actions / resources</x:v>
      </x:c>
    </x:row>
  </x:sheetData>
  <x:conditionalFormatting sqref="B5:B31">
    <x:cfRule type="expression" dxfId="0" priority="1">
      <x:formula>AND(LEN(B5)&gt;=22,LEN(B5)&lt;=24)</x:formula>
    </x:cfRule>
    <x:cfRule type="expression" dxfId="1" priority="2">
      <x:formula>LEN(B5)&gt;24</x:formula>
    </x:cfRule>
  </x:conditionalFormatting>
  <x:conditionalFormatting sqref="C5:C31">
    <x:cfRule type="expression" dxfId="2" priority="3">
      <x:formula>AND(LEN(C5)&gt;=171,LEN(C5)&lt;=190)</x:formula>
    </x:cfRule>
    <x:cfRule type="expression" dxfId="3" priority="4">
      <x:formula>LEN(C5)&gt;190</x:formula>
    </x:cfRule>
  </x:conditionalFormatting>
  <x:conditionalFormatting sqref="D5:D31">
    <x:cfRule type="expression" dxfId="4" priority="5">
      <x:formula>AND(LEN(D5)&gt;=99,LEN(D5)&lt;=110)</x:formula>
    </x:cfRule>
    <x:cfRule type="expression" dxfId="5" priority="6">
      <x:formula>LEN(D5)&gt;110</x:formula>
    </x:cfRule>
  </x:conditionalFormatting>
  <x:conditionalFormatting sqref="F5:F31">
    <x:cfRule type="expression" dxfId="6" priority="7">
      <x:formula>AND(LEN(F5)&gt;=99,LEN(F5)&lt;=110)</x:formula>
    </x:cfRule>
    <x:cfRule type="expression" dxfId="7" priority="8">
      <x:formula>LEN(F5)&gt;110</x:formula>
    </x:cfRule>
  </x:conditionalFormatting>
  <x:conditionalFormatting sqref="H5:H31">
    <x:cfRule type="expression" dxfId="8" priority="9">
      <x:formula>AND(LEN(H5)&gt;=99,LEN(H5)&lt;=110)</x:formula>
    </x:cfRule>
    <x:cfRule type="expression" dxfId="9" priority="10">
      <x:formula>LEN(H5)&gt;110</x:formula>
    </x:cfRule>
  </x:conditionalFormatting>
  <x:conditionalFormatting sqref="E5:E31">
    <x:cfRule type="expression" dxfId="10" priority="11">
      <x:formula>AND(LEN(E5)&gt;=59,LEN(E5)&lt;=65)</x:formula>
    </x:cfRule>
    <x:cfRule type="expression" dxfId="11" priority="12">
      <x:formula>LEN(E5)&gt;65</x:formula>
    </x:cfRule>
  </x:conditionalFormatting>
  <x:conditionalFormatting sqref="G5:G31">
    <x:cfRule type="expression" dxfId="12" priority="13">
      <x:formula>AND(LEN(G5)&gt;=59,LEN(G5)&lt;=65)</x:formula>
    </x:cfRule>
    <x:cfRule type="expression" dxfId="13" priority="14">
      <x:formula>LEN(G5)&gt;65</x:formula>
    </x:cfRule>
  </x:conditionalFormatting>
  <x:conditionalFormatting sqref="I5:I31">
    <x:cfRule type="expression" dxfId="14" priority="15">
      <x:formula>AND(LEN(I5)&gt;=59,LEN(I5)&lt;=65)</x:formula>
    </x:cfRule>
    <x:cfRule type="expression" dxfId="15" priority="16">
      <x:formula>LEN(I5)&gt;65</x:formula>
    </x:cfRule>
  </x:conditionalFormatting>
  <x:conditionalFormatting sqref="A5:A31">
    <x:cfRule type="expression" dxfId="16" priority="17">
      <x:formula>OR(LEN($B5)&gt;24,LEN($C5)&gt;190,LEN($D5)&gt;110,LEN($F5)&gt;110,LEN($H5)&gt;110,LEN($E5)&gt;65,LEN($G5)&gt;65,LEN($I5)&gt;65)</x:formula>
    </x:cfRule>
  </x:conditionalFormatting>
  <x:conditionalFormatting sqref="B32:B32">
    <x:cfRule type="expression" dxfId="58" priority="18">
      <x:formula>LEN(B32)&gt;24</x:formula>
    </x:cfRule>
    <x:cfRule type="expression" dxfId="59" priority="19">
      <x:formula>AND(LEN(B32)&gt;=22,LEN(B32)&lt;=24)</x:formula>
    </x:cfRule>
  </x:conditionalFormatting>
  <x:conditionalFormatting sqref="C32:C32">
    <x:cfRule type="expression" dxfId="60" priority="20">
      <x:formula>LEN(C32)&gt;190</x:formula>
    </x:cfRule>
    <x:cfRule type="expression" dxfId="61" priority="21">
      <x:formula>AND(LEN(C32)&gt;=171,LEN(C32)&lt;=190)</x:formula>
    </x:cfRule>
  </x:conditionalFormatting>
  <x:conditionalFormatting sqref="D32:D32">
    <x:cfRule type="expression" dxfId="62" priority="22">
      <x:formula>LEN(D32)&gt;110</x:formula>
    </x:cfRule>
    <x:cfRule type="expression" dxfId="63" priority="23">
      <x:formula>AND(LEN(D32)&gt;=99,LEN(D32)&lt;=110)</x:formula>
    </x:cfRule>
  </x:conditionalFormatting>
  <x:conditionalFormatting sqref="E32:E32">
    <x:cfRule type="expression" dxfId="64" priority="24">
      <x:formula>LEN(E32)&gt;65</x:formula>
    </x:cfRule>
    <x:cfRule type="expression" dxfId="65" priority="25">
      <x:formula>AND(LEN(E32)&gt;=59,LEN(E32)&lt;=65)</x:formula>
    </x:cfRule>
  </x:conditionalFormatting>
  <x:conditionalFormatting sqref="F32:F32">
    <x:cfRule type="expression" dxfId="66" priority="26">
      <x:formula>LEN(F32)&gt;110</x:formula>
    </x:cfRule>
    <x:cfRule type="expression" dxfId="67" priority="27">
      <x:formula>AND(LEN(F32)&gt;=99,LEN(F32)&lt;=110)</x:formula>
    </x:cfRule>
  </x:conditionalFormatting>
  <x:conditionalFormatting sqref="G32:G32">
    <x:cfRule type="expression" dxfId="68" priority="28">
      <x:formula>LEN(G32)&gt;65</x:formula>
    </x:cfRule>
    <x:cfRule type="expression" dxfId="69" priority="29">
      <x:formula>AND(LEN(G32)&gt;=59,LEN(G32)&lt;=65)</x:formula>
    </x:cfRule>
  </x:conditionalFormatting>
  <x:conditionalFormatting sqref="H32:H32">
    <x:cfRule type="expression" dxfId="70" priority="30">
      <x:formula>LEN(H32)&gt;110</x:formula>
    </x:cfRule>
    <x:cfRule type="expression" dxfId="71" priority="31">
      <x:formula>AND(LEN(H32)&gt;=99,LEN(H32)&lt;=110)</x:formula>
    </x:cfRule>
  </x:conditionalFormatting>
  <x:conditionalFormatting sqref="I32:I32">
    <x:cfRule type="expression" dxfId="72" priority="32">
      <x:formula>LEN(I32)&gt;65</x:formula>
    </x:cfRule>
    <x:cfRule type="expression" dxfId="73" priority="33">
      <x:formula>AND(LEN(I32)&gt;=59,LEN(I32)&lt;=65)</x:formula>
    </x:cfRule>
  </x:conditionalFormatting>
  <x:conditionalFormatting sqref="A32:A32">
    <x:cfRule type="expression" dxfId="74" priority="34">
      <x:formula>OR(LEN($B32)&gt;24,LEN($C32)&gt;190,LEN($D32)&gt;110,LEN($E32)&gt;65,LEN($F32)&gt;110,LEN($G32)&gt;65,LEN($H32)&gt;110,LEN($I32)&gt;65)</x:formula>
    </x:cfRule>
  </x:conditionalFormatting>
  <x:conditionalFormatting sqref="B33:B33">
    <x:cfRule type="expression" dxfId="92" priority="35">
      <x:formula>LEN(B33)&gt;24</x:formula>
    </x:cfRule>
    <x:cfRule type="expression" dxfId="93" priority="36">
      <x:formula>AND(LEN(B33)&gt;=22,LEN(B33)&lt;=24)</x:formula>
    </x:cfRule>
  </x:conditionalFormatting>
  <x:conditionalFormatting sqref="C33:C33">
    <x:cfRule type="expression" dxfId="94" priority="37">
      <x:formula>LEN(C33)&gt;190</x:formula>
    </x:cfRule>
    <x:cfRule type="expression" dxfId="95" priority="38">
      <x:formula>AND(LEN(C33)&gt;=171,LEN(C33)&lt;=190)</x:formula>
    </x:cfRule>
  </x:conditionalFormatting>
  <x:conditionalFormatting sqref="D33:D33">
    <x:cfRule type="expression" dxfId="96" priority="39">
      <x:formula>LEN(D33)&gt;110</x:formula>
    </x:cfRule>
    <x:cfRule type="expression" dxfId="97" priority="40">
      <x:formula>AND(LEN(D33)&gt;=99,LEN(D33)&lt;=110)</x:formula>
    </x:cfRule>
  </x:conditionalFormatting>
  <x:conditionalFormatting sqref="E33:E33">
    <x:cfRule type="expression" dxfId="98" priority="41">
      <x:formula>LEN(E33)&gt;65</x:formula>
    </x:cfRule>
    <x:cfRule type="expression" dxfId="99" priority="42">
      <x:formula>AND(LEN(E33)&gt;=59,LEN(E33)&lt;=65)</x:formula>
    </x:cfRule>
  </x:conditionalFormatting>
  <x:conditionalFormatting sqref="F33:F33">
    <x:cfRule type="expression" dxfId="100" priority="43">
      <x:formula>LEN(F33)&gt;110</x:formula>
    </x:cfRule>
    <x:cfRule type="expression" dxfId="101" priority="44">
      <x:formula>AND(LEN(F33)&gt;=99,LEN(F33)&lt;=110)</x:formula>
    </x:cfRule>
  </x:conditionalFormatting>
  <x:conditionalFormatting sqref="G33:G33">
    <x:cfRule type="expression" dxfId="102" priority="45">
      <x:formula>LEN(G33)&gt;65</x:formula>
    </x:cfRule>
    <x:cfRule type="expression" dxfId="103" priority="46">
      <x:formula>AND(LEN(G33)&gt;=59,LEN(G33)&lt;=65)</x:formula>
    </x:cfRule>
  </x:conditionalFormatting>
  <x:conditionalFormatting sqref="H33:H33">
    <x:cfRule type="expression" dxfId="104" priority="47">
      <x:formula>LEN(H33)&gt;110</x:formula>
    </x:cfRule>
    <x:cfRule type="expression" dxfId="105" priority="48">
      <x:formula>AND(LEN(H33)&gt;=99,LEN(H33)&lt;=110)</x:formula>
    </x:cfRule>
  </x:conditionalFormatting>
  <x:conditionalFormatting sqref="I33:I33">
    <x:cfRule type="expression" dxfId="106" priority="49">
      <x:formula>LEN(I33)&gt;65</x:formula>
    </x:cfRule>
    <x:cfRule type="expression" dxfId="107" priority="50">
      <x:formula>AND(LEN(I33)&gt;=59,LEN(I33)&lt;=65)</x:formula>
    </x:cfRule>
  </x:conditionalFormatting>
  <x:conditionalFormatting sqref="A33:A33">
    <x:cfRule type="expression" dxfId="108" priority="51">
      <x:formula>OR(LEN($B33)&gt;24,LEN($C33)&gt;190,LEN($D33)&gt;110,LEN($E33)&gt;65,LEN($F33)&gt;110,LEN($G33)&gt;65,LEN($H33)&gt;110,LEN($I33)&gt;65)</x:formula>
    </x:cfRule>
  </x:conditionalFormatting>
  <x:conditionalFormatting sqref="B34:B34">
    <x:cfRule type="expression" dxfId="126" priority="52">
      <x:formula>LEN(B34)&gt;24</x:formula>
    </x:cfRule>
    <x:cfRule type="expression" dxfId="127" priority="53">
      <x:formula>AND(LEN(B34)&gt;=22,LEN(B34)&lt;=24)</x:formula>
    </x:cfRule>
  </x:conditionalFormatting>
  <x:conditionalFormatting sqref="C34:C34">
    <x:cfRule type="expression" dxfId="128" priority="54">
      <x:formula>LEN(C34)&gt;190</x:formula>
    </x:cfRule>
    <x:cfRule type="expression" dxfId="129" priority="55">
      <x:formula>AND(LEN(C34)&gt;=171,LEN(C34)&lt;=190)</x:formula>
    </x:cfRule>
  </x:conditionalFormatting>
  <x:conditionalFormatting sqref="D34:D34">
    <x:cfRule type="expression" dxfId="130" priority="56">
      <x:formula>LEN(D34)&gt;110</x:formula>
    </x:cfRule>
    <x:cfRule type="expression" dxfId="131" priority="57">
      <x:formula>AND(LEN(D34)&gt;=99,LEN(D34)&lt;=110)</x:formula>
    </x:cfRule>
  </x:conditionalFormatting>
  <x:conditionalFormatting sqref="E34:E34">
    <x:cfRule type="expression" dxfId="132" priority="58">
      <x:formula>LEN(E34)&gt;65</x:formula>
    </x:cfRule>
    <x:cfRule type="expression" dxfId="133" priority="59">
      <x:formula>AND(LEN(E34)&gt;=59,LEN(E34)&lt;=65)</x:formula>
    </x:cfRule>
  </x:conditionalFormatting>
  <x:conditionalFormatting sqref="F34:F34">
    <x:cfRule type="expression" dxfId="134" priority="60">
      <x:formula>LEN(F34)&gt;110</x:formula>
    </x:cfRule>
    <x:cfRule type="expression" dxfId="135" priority="61">
      <x:formula>AND(LEN(F34)&gt;=99,LEN(F34)&lt;=110)</x:formula>
    </x:cfRule>
  </x:conditionalFormatting>
  <x:conditionalFormatting sqref="G34:G34">
    <x:cfRule type="expression" dxfId="136" priority="62">
      <x:formula>LEN(G34)&gt;65</x:formula>
    </x:cfRule>
    <x:cfRule type="expression" dxfId="137" priority="63">
      <x:formula>AND(LEN(G34)&gt;=59,LEN(G34)&lt;=65)</x:formula>
    </x:cfRule>
  </x:conditionalFormatting>
  <x:conditionalFormatting sqref="H34:H34">
    <x:cfRule type="expression" dxfId="138" priority="64">
      <x:formula>LEN(H34)&gt;110</x:formula>
    </x:cfRule>
    <x:cfRule type="expression" dxfId="139" priority="65">
      <x:formula>AND(LEN(H34)&gt;=99,LEN(H34)&lt;=110)</x:formula>
    </x:cfRule>
  </x:conditionalFormatting>
  <x:conditionalFormatting sqref="I34:I34">
    <x:cfRule type="expression" dxfId="140" priority="66">
      <x:formula>LEN(I34)&gt;65</x:formula>
    </x:cfRule>
    <x:cfRule type="expression" dxfId="141" priority="67">
      <x:formula>AND(LEN(I34)&gt;=59,LEN(I34)&lt;=65)</x:formula>
    </x:cfRule>
  </x:conditionalFormatting>
  <x:conditionalFormatting sqref="A34:A34">
    <x:cfRule type="expression" dxfId="142" priority="68">
      <x:formula>OR(LEN($B34)&gt;24,LEN($C34)&gt;190,LEN($D34)&gt;110,LEN($E34)&gt;65,LEN($F34)&gt;110,LEN($G34)&gt;65,LEN($H34)&gt;110,LEN($I34)&gt;65)</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28" customWidth="1"/>
    <x:col min="2" max="2" width="24" customWidth="1"/>
    <x:col min="3" max="3" width="38" customWidth="1"/>
    <x:col min="4" max="4" width="40" customWidth="1"/>
    <x:col min="5" max="5" width="26" customWidth="1"/>
    <x:col min="6" max="6" width="40" customWidth="1"/>
    <x:col min="7" max="7" width="26" customWidth="1"/>
    <x:col min="8" max="8" width="44" customWidth="1"/>
    <x:col min="9" max="9" width="26" customWidth="1"/>
    <x:col min="10" max="10" width="32" customWidth="1"/>
  </x:cols>
  <x:sheetData>
    <x:row r="1" ht="33.599998474121094" hidden="0" customHeight="1">
      <x:c r="A1" s="32" t="s">
        <x:v>356</x:v>
      </x:c>
      <x:c r="B1" s="33"/>
      <x:c r="C1" s="38"/>
      <x:c r="D1" s="33"/>
      <x:c r="E1" s="33"/>
      <x:c r="F1" s="33"/>
      <x:c r="G1" s="33"/>
      <x:c r="H1" s="33"/>
      <x:c r="I1" s="33"/>
      <x:c r="J1" s="34"/>
    </x:row>
    <x:row r="2" ht="21.600000381469727" hidden="0" customHeight="1">
      <x:c r="A2" s="35" t="s">
        <x:v>261</x:v>
      </x:c>
      <x:c r="B2" s="36"/>
      <x:c r="C2" s="36"/>
      <x:c r="D2" s="36"/>
      <x:c r="E2" s="36"/>
      <x:c r="F2" s="36"/>
      <x:c r="G2" s="36"/>
      <x:c r="H2" s="36"/>
      <x:c r="I2" s="36"/>
      <x:c r="J2" s="37"/>
    </x:row>
    <x:row r="3" ht="8.100000381469727" customHeight="1">
      <x:c r="A3" s="23"/>
      <x:c r="B3" s="24"/>
      <x:c r="C3" s="24"/>
      <x:c r="D3" s="24"/>
      <x:c r="E3" s="24"/>
      <x:c r="F3" s="24"/>
      <x:c r="G3" s="24"/>
      <x:c r="H3" s="24"/>
      <x:c r="I3" s="24"/>
      <x:c r="J3" s="25"/>
    </x:row>
    <x:row r="4" ht="30" customHeight="1">
      <x:c r="A4" s="39" t="s">
        <x:v>262</x:v>
      </x:c>
      <x:c r="B4" s="39" t="s">
        <x:v>263</x:v>
      </x:c>
      <x:c r="C4" s="39" t="s">
        <x:v>264</x:v>
      </x:c>
      <x:c r="D4" s="39" t="s">
        <x:v>265</x:v>
      </x:c>
      <x:c r="E4" s="39" t="s">
        <x:v>266</x:v>
      </x:c>
      <x:c r="F4" s="39" t="s">
        <x:v>267</x:v>
      </x:c>
      <x:c r="G4" s="39" t="s">
        <x:v>268</x:v>
      </x:c>
      <x:c r="H4" s="39" t="s">
        <x:v>269</x:v>
      </x:c>
      <x:c r="I4" s="39" t="s">
        <x:v>270</x:v>
      </x:c>
      <x:c r="J4" s="39" t="s">
        <x:v>271</x:v>
      </x:c>
    </x:row>
    <x:row r="5" ht="84" customHeight="1">
      <x:c r="A5" s="40" t="s">
        <x:v>357</x:v>
      </x:c>
      <x:c r="B5" s="29" t="s">
        <x:v>358</x:v>
      </x:c>
      <x:c r="C5" s="29" t="s">
        <x:v>359</x:v>
      </x:c>
      <x:c r="D5" s="29" t="str">
        <x:v>Choose 1 Mine Tile: +1 Strain.</x:v>
      </x:c>
      <x:c r="E5" s="29" t="str">
        <x:v>Spend 1 Action, pay 2 Food, discard.</x:v>
      </x:c>
      <x:c r="F5" s="29" t="str">
        <x:v>Choose 1 Mine Tile: +2 Strain.</x:v>
      </x:c>
      <x:c r="G5" s="29" t="str">
        <x:v>Spend 1 Action, pay 4 Food, discard.</x:v>
      </x:c>
      <x:c r="H5" s="29" t="str">
        <x:v>Choose 1 Mine Tile: +2 Strain. Then choose 1 adjacent Travel/Resource Tile: +1 Strain.</x:v>
      </x:c>
      <x:c r="I5" s="29" t="str">
        <x:v>Spend 1 Action, pay 6 Food, discard.</x:v>
      </x:c>
      <x:c r="J5" s="29" t="s">
        <x:v>319</x:v>
      </x:c>
    </x:row>
    <x:row r="6" ht="84" customHeight="1">
      <x:c r="A6" s="2" t="s">
        <x:v>360</x:v>
      </x:c>
      <x:c r="B6" s="1" t="s">
        <x:v>361</x:v>
      </x:c>
      <x:c r="C6" s="1" t="s">
        <x:v>362</x:v>
      </x:c>
      <x:c r="D6" s="1" t="str">
        <x:v>Choose 1 Housing Tile not adjacent to Social/Wellbeing: +1 Strain. If none, lose 1 Goods.</x:v>
      </x:c>
      <x:c r="E6" s="1" t="str">
        <x:v>Spend 1 Action, pay 2 Wood, discard.</x:v>
      </x:c>
      <x:c r="F6" s="1" t="str">
        <x:v>Choose up to 2 Housing Tiles not adjacent to Social/Wellbeing: +1 Strain each. If none, lose 2 Goods.</x:v>
      </x:c>
      <x:c r="G6" s="1" t="str">
        <x:v>Spend 1 Action, pay 4 Wood, discard.</x:v>
      </x:c>
      <x:c r="H6" s="1" t="str">
        <x:v>Choose up to 3 Housing Tiles not adjacent to Social/Wellbeing: +1 Strain each. If none, lose 3 Goods.</x:v>
      </x:c>
      <x:c r="I6" s="1" t="str">
        <x:v>Spend 1 Action, pay 6 Wood, discard.</x:v>
      </x:c>
      <x:c r="J6" s="1" t="s">
        <x:v>363</x:v>
      </x:c>
    </x:row>
    <x:row r="7" ht="84" customHeight="1">
      <x:c r="A7" s="40" t="s">
        <x:v>364</x:v>
      </x:c>
      <x:c r="B7" s="29" t="s">
        <x:v>365</x:v>
      </x:c>
      <x:c r="C7" s="29" t="s">
        <x:v>366</x:v>
      </x:c>
      <x:c r="D7" s="29" t="str">
        <x:v>Choose 1 Farm Tile: +1 Strain.</x:v>
      </x:c>
      <x:c r="E7" s="29" t="str">
        <x:v>Spend 1 Action, pay 2 Food, discard.</x:v>
      </x:c>
      <x:c r="F7" s="29" t="str">
        <x:v>Choose 1 Farm Tile: +2 Strain.</x:v>
      </x:c>
      <x:c r="G7" s="29" t="str">
        <x:v>Spend 1 Action, pay 4 Food, discard.</x:v>
      </x:c>
      <x:c r="H7" s="29" t="str">
        <x:v>Choose 1 Farm Tile: +2 Strain. Then choose 1 adjacent Tile: +1 Strain.</x:v>
      </x:c>
      <x:c r="I7" s="29" t="str">
        <x:v>Spend 1 Action, pay 6 Food, discard.</x:v>
      </x:c>
      <x:c r="J7" s="29" t="s">
        <x:v>286</x:v>
      </x:c>
    </x:row>
    <x:row r="8" ht="84" customHeight="1">
      <x:c r="A8" s="2" t="s">
        <x:v>367</x:v>
      </x:c>
      <x:c r="B8" s="1" t="s">
        <x:v>368</x:v>
      </x:c>
      <x:c r="C8" s="1" t="s">
        <x:v>369</x:v>
      </x:c>
      <x:c r="D8" s="1" t="str">
        <x:v>Choose 1 Merchant/Crafting Tile adjacent to the other type: +1 Strain.</x:v>
      </x:c>
      <x:c r="E8" s="1" t="str">
        <x:v>Spend 1 Action, pay 2 Goods, discard.</x:v>
      </x:c>
      <x:c r="F8" s="1" t="str">
        <x:v>Choose 1 Merchant and 1 Crafting Tile adjacent to each other: +1 Strain each.</x:v>
      </x:c>
      <x:c r="G8" s="1" t="str">
        <x:v>Spend 1 Action, pay 4 Goods, discard.</x:v>
      </x:c>
      <x:c r="H8" s="1" t="str">
        <x:v>Up to 2 Merchant and 2 Crafting, adjacent across types: +1 Strain each. If none, 1 of either: +1 Strain.</x:v>
      </x:c>
      <x:c r="I8" s="1" t="str">
        <x:v>Spend 1 Action, pay 6 Goods, discard.</x:v>
      </x:c>
      <x:c r="J8" s="1" t="s">
        <x:v>370</x:v>
      </x:c>
    </x:row>
    <x:row r="9" ht="84" customHeight="1">
      <x:c r="A9" s="40" t="s">
        <x:v>371</x:v>
      </x:c>
      <x:c r="B9" s="29" t="s">
        <x:v>372</x:v>
      </x:c>
      <x:c r="C9" s="29" t="str">
        <x:v>These warm halls were built for music and shared meals. Now bowls are half-filled, ale watered, and singers leave early. Fellowship falters when shelves cannot support generosity.</x:v>
      </x:c>
      <x:c r="D9" s="29" t="str">
        <x:v>Choose 1 Social Tile: pay 1 Goods or +1 Strain.</x:v>
      </x:c>
      <x:c r="E9" s="29" t="str">
        <x:v>Spend 1 Action, pay 2 Goods, discard.</x:v>
      </x:c>
      <x:c r="F9" s="29" t="str">
        <x:v>Choose 2 Social Tiles. Each: pay 1 Goods or +1 Strain.</x:v>
      </x:c>
      <x:c r="G9" s="29" t="str">
        <x:v>Spend 1 Action, pay 4 Goods, discard.</x:v>
      </x:c>
      <x:c r="H9" s="29" t="str">
        <x:v>Choose 3 Social Tiles. Each: pay 1 Goods or +1 Strain. If none, choose 1 Housing Tile: +1 Strain.</x:v>
      </x:c>
      <x:c r="I9" s="29" t="str">
        <x:v>Spend 1 Action, pay 6 Goods, discard.</x:v>
      </x:c>
      <x:c r="J9" s="29" t="s">
        <x:v>373</x:v>
      </x:c>
    </x:row>
    <x:row r="10" ht="84" customHeight="1">
      <x:c r="A10" s="2" t="s">
        <x:v>374</x:v>
      </x:c>
      <x:c r="B10" s="1" t="s">
        <x:v>375</x:v>
      </x:c>
      <x:c r="C10" s="1" t="str">
        <x:v>Whole hillsides were stripped bare for war. Since then, the forest has grown watchful and angry. Paths vanish, branches fall, and each axe stroke seems to wake something deeper.</x:v>
      </x:c>
      <x:c r="D10" s="1" t="str">
        <x:v>Choose 1 Lumber Tile: +1 Strain.</x:v>
      </x:c>
      <x:c r="E10" s="1" t="str">
        <x:v>Spend 1 Action, pay 2 Wood, discard.</x:v>
      </x:c>
      <x:c r="F10" s="1" t="str">
        <x:v>Choose 1 Lumber Tile: +2 Strain.</x:v>
      </x:c>
      <x:c r="G10" s="1" t="str">
        <x:v>Spend 1 Action, pay 4 Wood, discard.</x:v>
      </x:c>
      <x:c r="H10" s="1" t="str">
        <x:v>Choose 1 Lumber Tile: +2 Strain. Then choose 1 adjacent Tile: +1 Strain.</x:v>
      </x:c>
      <x:c r="I10" s="1" t="str">
        <x:v>Spend 1 Action, pay 6 Wood, discard.</x:v>
      </x:c>
      <x:c r="J10" s="1" t="s">
        <x:v>335</x:v>
      </x:c>
    </x:row>
    <x:row r="11" ht="84" customHeight="1">
      <x:c r="A11" s="40" t="s">
        <x:v>376</x:v>
      </x:c>
      <x:c r="B11" s="29" t="s">
        <x:v>377</x:v>
      </x:c>
      <x:c r="C11" s="29" t="s">
        <x:v>378</x:v>
      </x:c>
      <x:c r="D11" s="29" t="str">
        <x:v>Choose 1 upgraded Core Tile: +1 Strain.</x:v>
      </x:c>
      <x:c r="E11" s="29" t="str">
        <x:v>Spend 1 Action, pay 2 Stone, discard.</x:v>
      </x:c>
      <x:c r="F11" s="29" t="str">
        <x:v>Choose 1 upgraded Core Tile: +1 Strain. Then 1 adjacent Tile: +1 Strain.</x:v>
      </x:c>
      <x:c r="G11" s="29" t="str">
        <x:v>Spend 1 Action, pay 4 Stone, discard.</x:v>
      </x:c>
      <x:c r="H11" s="29" t="str">
        <x:v>Choose 1 upgraded Core Tile: +2 Strain. Then 1 adjacent Tile: +2 Strain.</x:v>
      </x:c>
      <x:c r="I11" s="29" t="str">
        <x:v>Spend 1 Action, pay 6 Stone, discard.</x:v>
      </x:c>
      <x:c r="J11" s="29" t="s">
        <x:v>379</x:v>
      </x:c>
    </x:row>
    <x:row r="12" ht="84" customHeight="1">
      <x:c r="A12" s="2" t="s">
        <x:v>380</x:v>
      </x:c>
      <x:c r="B12" s="1" t="s">
        <x:v>381</x:v>
      </x:c>
      <x:c r="C12" s="1" t="s">
        <x:v>382</x:v>
      </x:c>
      <x:c r="D12" s="1" t="str">
        <x:v>Choose 1 Travel Tile adjacent to Housing with 1+ Strain: +1 Strain.</x:v>
      </x:c>
      <x:c r="E12" s="1" t="str">
        <x:v>Spend 1 Action, pay 2 Herbs, discard.</x:v>
      </x:c>
      <x:c r="F12" s="1" t="str">
        <x:v>Choose 2 Travel Tiles, each adjacent to Housing with 1+ Strain: +1 Strain each.</x:v>
      </x:c>
      <x:c r="G12" s="1" t="str">
        <x:v>Spend 1 Action, pay 4 Herbs, discard.</x:v>
      </x:c>
      <x:c r="H12" s="1" t="str">
        <x:v>Choose 3 Travel Tiles beside Housing with 1+ Strain: +1 Strain each. If none, 1 Travel: +1 Strain.</x:v>
      </x:c>
      <x:c r="I12" s="1" t="str">
        <x:v>Spend 1 Action, pay 6 Herbs, discard.</x:v>
      </x:c>
      <x:c r="J12" s="1" t="s">
        <x:v>383</x:v>
      </x:c>
    </x:row>
    <x:row r="13" ht="84" customHeight="1">
      <x:c r="A13" s="40" t="s">
        <x:v>384</x:v>
      </x:c>
      <x:c r="B13" s="29" t="s">
        <x:v>385</x:v>
      </x:c>
      <x:c r="C13" s="29" t="s">
        <x:v>386</x:v>
      </x:c>
      <x:c r="D13" s="29" t="str">
        <x:v>Choose 1 Tile with Renown: +1 Strain.</x:v>
      </x:c>
      <x:c r="E13" s="29" t="str">
        <x:v>Spend 1 Action, pay 2 Goods, discard.</x:v>
      </x:c>
      <x:c r="F13" s="29" t="str">
        <x:v>Choose 2 Tiles with Renown: +1 Strain each.</x:v>
      </x:c>
      <x:c r="G13" s="29" t="str">
        <x:v>Spend 1 Action, pay 4 Goods, discard.</x:v>
      </x:c>
      <x:c r="H13" s="29" t="str">
        <x:v>Choose 3 Tiles with Renown: +1 Strain each.</x:v>
      </x:c>
      <x:c r="I13" s="29" t="str">
        <x:v>Spend 1 Action, pay 6 Goods, discard.</x:v>
      </x:c>
      <x:c r="J13" s="29" t="s">
        <x:v>387</x:v>
      </x:c>
    </x:row>
    <x:row r="14" ht="84" customHeight="1">
      <x:c r="A14" s="2" t="s">
        <x:v>388</x:v>
      </x:c>
      <x:c r="B14" s="1" t="s">
        <x:v>389</x:v>
      </x:c>
      <x:c r="C14" s="1" t="s">
        <x:v>390</x:v>
      </x:c>
      <x:c r="D14" s="1" t="str">
        <x:v>Choose 1 Social/Wellbeing Tile: pay 2 Herbs or +1 Strain.</x:v>
      </x:c>
      <x:c r="E14" s="1" t="str">
        <x:v>Spend 1 Action, pay 2 Herbs, discard.</x:v>
      </x:c>
      <x:c r="F14" s="1" t="str">
        <x:v>Choose 2 Social/Wellbeing Tiles: pay 4 Herbs total or +1 Strain each.</x:v>
      </x:c>
      <x:c r="G14" s="1" t="str">
        <x:v>Spend 1 Action, pay 4 Herbs, discard.</x:v>
      </x:c>
      <x:c r="H14" s="1" t="str">
        <x:v>Choose 3 Social/Wellbeing Tiles: pay 6 Herbs total or +1 Strain each.</x:v>
      </x:c>
      <x:c r="I14" s="1" t="str">
        <x:v>Spend 1 Action, pay 6 Herbs, discard.</x:v>
      </x:c>
      <x:c r="J14" s="1" t="s">
        <x:v>391</x:v>
      </x:c>
    </x:row>
    <x:row r="15" ht="84" customHeight="1">
      <x:c r="A15" s="40" t="s">
        <x:v>392</x:v>
      </x:c>
      <x:c r="B15" s="29" t="s">
        <x:v>393</x:v>
      </x:c>
      <x:c r="C15" s="29" t="s">
        <x:v>394</x:v>
      </x:c>
      <x:c r="D15" s="29" t="str">
        <x:v>Choose 1 Merchant/Crafting Tile adjacent to exactly 1 Travel Tile: +1 Strain.</x:v>
      </x:c>
      <x:c r="E15" s="29" t="str">
        <x:v>Spend 1 Action, pay 2 Goods, discard.</x:v>
      </x:c>
      <x:c r="F15" s="29" t="str">
        <x:v>Choose 2 Merchant/Crafting Tiles, each adjacent to exactly 1 Travel Tile: +1 Strain each.</x:v>
      </x:c>
      <x:c r="G15" s="29" t="str">
        <x:v>Spend 1 Action, pay 4 Goods, discard.</x:v>
      </x:c>
      <x:c r="H15" s="29" t="str">
        <x:v>Choose 3 Merchant/Crafting Tiles, each adjacent to exactly 1 Travel Tile: +1 Strain each.</x:v>
      </x:c>
      <x:c r="I15" s="29" t="str">
        <x:v>Spend 1 Action, pay 6 Goods, discard.</x:v>
      </x:c>
      <x:c r="J15" s="29" t="s">
        <x:v>395</x:v>
      </x:c>
    </x:row>
    <x:row r="16" ht="84" customHeight="1">
      <x:c r="A16" s="2" t="s">
        <x:v>396</x:v>
      </x:c>
      <x:c r="B16" s="1" t="s">
        <x:v>397</x:v>
      </x:c>
      <x:c r="C16" s="1" t="s">
        <x:v>398</x:v>
      </x:c>
      <x:c r="D16" s="1" t="str">
        <x:v>Choose 1 active Arrival, if any: pay 1 Goods or remove 1 timer. If none, no effect.</x:v>
      </x:c>
      <x:c r="E16" s="1" t="str">
        <x:v>Spend 1 Action, pay 2 Goods, discard.</x:v>
      </x:c>
      <x:c r="F16" s="1" t="str">
        <x:v>Choose up to 2 active Arrivals. Each: pay 1 Goods or remove 1 timer. If none, no effect.</x:v>
      </x:c>
      <x:c r="G16" s="1" t="str">
        <x:v>Spend 1 Action, pay 4 Goods, discard.</x:v>
      </x:c>
      <x:c r="H16" s="1" t="str">
        <x:v>Up to 3 active Arrivals. Each: pay 1 Goods or remove 1 timer. If none, 2 Tiles: +1 Strain each.</x:v>
      </x:c>
      <x:c r="I16" s="1" t="str">
        <x:v>Spend 1 Action, pay 6 Goods, discard.</x:v>
      </x:c>
      <x:c r="J16" s="1" t="s">
        <x:v>399</x:v>
      </x:c>
    </x:row>
    <x:row r="17" ht="84" customHeight="1">
      <x:c r="A17" s="40" t="s">
        <x:v>400</x:v>
      </x:c>
      <x:c r="B17" s="29" t="s">
        <x:v>401</x:v>
      </x:c>
      <x:c r="C17" s="29" t="s">
        <x:v>402</x:v>
      </x:c>
      <x:c r="D17" s="29" t="str">
        <x:v>Choose 1 Travel Tile adjacent to Resource: +1 Strain.</x:v>
      </x:c>
      <x:c r="E17" s="29" t="str">
        <x:v>Spend 1 Action, pay 2 Metal, discard.</x:v>
      </x:c>
      <x:c r="F17" s="29" t="str">
        <x:v>Choose 2 Travel Tiles adjacent to Resource: +1 Strain each.</x:v>
      </x:c>
      <x:c r="G17" s="29" t="str">
        <x:v>Spend 1 Action, pay 4 Metal, discard.</x:v>
      </x:c>
      <x:c r="H17" s="29" t="str">
        <x:v>Choose 3 Travel Tiles adjacent to Resource: +1 Strain each. If none, 1 Resource Tile: +1 Strain.</x:v>
      </x:c>
      <x:c r="I17" s="29" t="str">
        <x:v>Spend 1 Action, pay 6 Metal, discard.</x:v>
      </x:c>
      <x:c r="J17" s="29" t="s">
        <x:v>403</x:v>
      </x:c>
    </x:row>
    <x:row r="18" ht="84" customHeight="1">
      <x:c r="A18" s="2" t="s">
        <x:v>404</x:v>
      </x:c>
      <x:c r="B18" s="1" t="s">
        <x:v>405</x:v>
      </x:c>
      <x:c r="C18" s="1" t="s">
        <x:v>406</x:v>
      </x:c>
      <x:c r="D18" s="1" t="str">
        <x:v>Choose 1 Travel Tile adjacent to 2+ Tiles: +1 Strain.</x:v>
      </x:c>
      <x:c r="E18" s="1" t="str">
        <x:v>Spend 1 Action, pay 2 Goods, discard.</x:v>
      </x:c>
      <x:c r="F18" s="1" t="str">
        <x:v>Choose 1 Travel Tile adjacent to 3+ Tiles: +2 Strain.</x:v>
      </x:c>
      <x:c r="G18" s="1" t="str">
        <x:v>Spend 1 Action, pay 4 Goods, discard.</x:v>
      </x:c>
      <x:c r="H18" s="1" t="str">
        <x:v>Choose 2 Travel Tiles, each adjacent to 3+ Tiles: +1 Strain each.</x:v>
      </x:c>
      <x:c r="I18" s="1" t="str">
        <x:v>Spend 1 Action, pay 6 Goods, discard.</x:v>
      </x:c>
      <x:c r="J18" s="1" t="s">
        <x:v>352</x:v>
      </x:c>
    </x:row>
    <x:row r="19" ht="84" customHeight="1">
      <x:c r="A19" s="40" t="s">
        <x:v>407</x:v>
      </x:c>
      <x:c r="B19" s="29" t="s">
        <x:v>408</x:v>
      </x:c>
      <x:c r="C19" s="29" t="str">
        <x:v>We laid roads farther than our hands could maintain. Mud fills the ruts, lanterns go unlit, and travellers reach the Vale already wondering whether the journey was worth it.</x:v>
      </x:c>
      <x:c r="D19" s="29" t="str">
        <x:v>Choose 1 Travel Tile not adjacent to Housing: +1 Strain.</x:v>
      </x:c>
      <x:c r="E19" s="29" t="str">
        <x:v>Spend 1 Action, pay 2 Wood, discard.</x:v>
      </x:c>
      <x:c r="F19" s="29" t="str">
        <x:v>Choose 2 Travel Tiles not adjacent to Housing: +1 Strain each.</x:v>
      </x:c>
      <x:c r="G19" s="29" t="str">
        <x:v>Spend 1 Action, pay 4 Wood, discard.</x:v>
      </x:c>
      <x:c r="H19" s="29" t="str">
        <x:v>Choose 3 Travel Tiles not adjacent to Housing: +1 Strain each.</x:v>
      </x:c>
      <x:c r="I19" s="29" t="str">
        <x:v>Spend 1 Action, pay 6 Wood, discard.</x:v>
      </x:c>
      <x:c r="J19" s="29" t="s">
        <x:v>352</x:v>
      </x:c>
    </x:row>
    <x:row r="20" ht="84" customHeight="1">
      <x:c r="A20" s="2" t="s">
        <x:v>409</x:v>
      </x:c>
      <x:c r="B20" s="1" t="s">
        <x:v>410</x:v>
      </x:c>
      <x:c r="C20" s="1" t="s">
        <x:v>411</x:v>
      </x:c>
      <x:c r="D20" s="1" t="str">
        <x:v>Choose 1 Housing Tile adjacent to Crafting: +1 Strain.</x:v>
      </x:c>
      <x:c r="E20" s="1" t="str">
        <x:v>Spend 1 Action, pay 2 Goods, discard.</x:v>
      </x:c>
      <x:c r="F20" s="1" t="str">
        <x:v>Choose 2 Housing Tiles adjacent to Crafting: +1 Strain each.</x:v>
      </x:c>
      <x:c r="G20" s="1" t="str">
        <x:v>Spend 1 Action, pay 4 Goods, discard.</x:v>
      </x:c>
      <x:c r="H20" s="1" t="str">
        <x:v>Choose 3 Housing Tiles adjacent to Crafting: +1 Strain each. If none, 1 Crafting Tile: +1 Strain.</x:v>
      </x:c>
      <x:c r="I20" s="1" t="str">
        <x:v>Spend 1 Action, pay 6 Goods, discard.</x:v>
      </x:c>
      <x:c r="J20" s="1" t="s">
        <x:v>412</x:v>
      </x:c>
    </x:row>
    <x:row r="21" ht="84" customHeight="1">
      <x:c r="A21" s="40" t="s">
        <x:v>413</x:v>
      </x:c>
      <x:c r="B21" s="29" t="s">
        <x:v>414</x:v>
      </x:c>
      <x:c r="C21" s="29" t="str">
        <x:v>When armies retreated, they left beasts too frightened to command. We found fences burst and tracks deep in the mud. They may settle, but today every sound sends them running.</x:v>
      </x:c>
      <x:c r="D21" s="29" t="str">
        <x:v>Choose 1 Gathering Tile: +1 Strain.</x:v>
      </x:c>
      <x:c r="E21" s="29" t="str">
        <x:v>Spend 1 Action, pay 2 Metal, discard.</x:v>
      </x:c>
      <x:c r="F21" s="29" t="str">
        <x:v>Choose 1 Gathering Tile: +2 Strain.</x:v>
      </x:c>
      <x:c r="G21" s="29" t="str">
        <x:v>Spend 1 Action, pay 4 Metal, discard.</x:v>
      </x:c>
      <x:c r="H21" s="29" t="str">
        <x:v>Choose 1 Gathering Tile: +2 Strain. Then choose 1 adjacent Housing/Travel Tile: +1 Strain.</x:v>
      </x:c>
      <x:c r="I21" s="29" t="str">
        <x:v>Spend 1 Action, pay 6 Metal, discard.</x:v>
      </x:c>
      <x:c r="J21" s="29" t="s">
        <x:v>341</x:v>
      </x:c>
    </x:row>
    <x:row r="22" ht="84" customHeight="1">
      <x:c r="A22" s="2" t="s">
        <x:v>415</x:v>
      </x:c>
      <x:c r="B22" s="1" t="s">
        <x:v>416</x:v>
      </x:c>
      <x:c r="C22" s="1" t="s">
        <x:v>417</x:v>
      </x:c>
      <x:c r="D22" s="1" t="str">
        <x:v>Choose a most-stocked resource. Lose 2. If none is lost, choose 1 Tile: +1 Strain.</x:v>
      </x:c>
      <x:c r="E22" s="1" t="str">
        <x:v>Spend 1 Action, pay 2 Goods, discard.</x:v>
      </x:c>
      <x:c r="F22" s="1" t="str">
        <x:v>Choose a most-stocked resource. Lose 4. If fewer than 4 are lost, choose 2 Tiles: +1 Strain each.</x:v>
      </x:c>
      <x:c r="G22" s="1" t="str">
        <x:v>Spend 1 Action, pay 4 Goods, discard.</x:v>
      </x:c>
      <x:c r="H22" s="1" t="str">
        <x:v>Choose a most-stocked resource. Lose 6. If fewer than 6 are lost, choose 2 Tiles: +2 Strain each.</x:v>
      </x:c>
      <x:c r="I22" s="1" t="str">
        <x:v>Spend 1 Action, pay 6 Goods, discard.</x:v>
      </x:c>
      <x:c r="J22" s="1" t="s">
        <x:v>418</x:v>
      </x:c>
    </x:row>
    <x:row r="23" ht="84" customHeight="1">
      <x:c r="A23" s="40" t="s">
        <x:v>419</x:v>
      </x:c>
      <x:c r="B23" s="29" t="s">
        <x:v>420</x:v>
      </x:c>
      <x:c r="C23" s="29" t="str">
        <x:v>The settlement’s weight rests first on those who lead it. Today, every necessary choice angered someone, and none could be undone without failing someone else.</x:v>
      </x:c>
      <x:c r="D23" s="29" t="str">
        <x:v>Choose up to 2 Steward-occupied Tiles: +1 Strain each.</x:v>
      </x:c>
      <x:c r="E23" s="29" t="str">
        <x:v>Spend 1 Action, pay 2 Goods, discard.</x:v>
      </x:c>
      <x:c r="F23" s="29" t="str">
        <x:v>Choose up to 2 Steward-occupied Tiles: +1 Strain each. Then 1 adjacent Tile, if any: +1 Strain.</x:v>
      </x:c>
      <x:c r="G23" s="29" t="str">
        <x:v>Spend 1 Action, pay 4 Goods, discard.</x:v>
      </x:c>
      <x:c r="H23" s="29" t="str">
        <x:v>Choose up to 3 Steward-occupied Tiles: +1 Strain each. Then up to 2 adjacent Tiles: +1 Strain each.</x:v>
      </x:c>
      <x:c r="I23" s="29" t="str">
        <x:v>Spend 1 Action, pay 6 Goods, discard.</x:v>
      </x:c>
      <x:c r="J23" s="29" t="s">
        <x:v>355</x:v>
      </x:c>
    </x:row>
    <x:row r="24" ht="84" customHeight="1">
      <x:c r="A24" s="2" t="s">
        <x:v>421</x:v>
      </x:c>
      <x:c r="B24" s="1" t="s">
        <x:v>422</x:v>
      </x:c>
      <x:c r="C24" s="1" t="str">
        <x:v>The halls are still crowded, though laughter now breaks beneath a spreading cough. Warmth draws people together, and the sickness follows wherever they gather.</x:v>
      </x:c>
      <x:c r="D24" s="1" t="str">
        <x:v>Choose 1 Social/Wellbeing Tile: +1 Strain.</x:v>
      </x:c>
      <x:c r="E24" s="1" t="str">
        <x:v>Spend 1 Action, pay 2 Herbs, discard.</x:v>
      </x:c>
      <x:c r="F24" s="1" t="str">
        <x:v>Choose 1 Social and 1 Wellbeing Tile, if possible: +1 Strain each.</x:v>
      </x:c>
      <x:c r="G24" s="1" t="str">
        <x:v>Spend 1 Action, pay 4 Herbs, discard.</x:v>
      </x:c>
      <x:c r="H24" s="1" t="str">
        <x:v>Choose up to 3 Social/Wellbeing Tiles: +1 Strain each.</x:v>
      </x:c>
      <x:c r="I24" s="1" t="str">
        <x:v>Spend 1 Action, pay 6 Herbs, discard.</x:v>
      </x:c>
      <x:c r="J24" s="1" t="s">
        <x:v>391</x:v>
      </x:c>
    </x:row>
    <x:row r="25" ht="84" customHeight="1">
      <x:c r="A25" s="40" t="s">
        <x:v>423</x:v>
      </x:c>
      <x:c r="B25" s="29" t="s">
        <x:v>424</x:v>
      </x:c>
      <x:c r="C25" s="29" t="s">
        <x:v>425</x:v>
      </x:c>
      <x:c r="D25" s="29" t="str">
        <x:v>Choose 1 Tile with 1–2 Strain: +1 Strain.</x:v>
      </x:c>
      <x:c r="E25" s="29" t="str">
        <x:v>Spend 1 Action, pay 2 Goods, discard.</x:v>
      </x:c>
      <x:c r="F25" s="29" t="str">
        <x:v>Choose 1 Tile with 1–2 Strain: +1 Strain. Then 1 adjacent Tile with 0 Strain: +1 Strain.</x:v>
      </x:c>
      <x:c r="G25" s="29" t="str">
        <x:v>Spend 1 Action, pay 4 Goods, discard.</x:v>
      </x:c>
      <x:c r="H25" s="29" t="str">
        <x:v>Choose 1 Overstrained Tile. 2 adjacent Tiles with 0 Strain: +1 Strain each. If none, use Season II.</x:v>
      </x:c>
      <x:c r="I25" s="29" t="str">
        <x:v>Spend 1 Action, pay 6 Goods, discard.</x:v>
      </x:c>
      <x:c r="J25" s="29" t="s">
        <x:v>426</x:v>
      </x:c>
    </x:row>
    <x:row r="26" ht="48" hidden="0" customHeight="1">
      <x:c r="A26" s="2" t="s">
        <x:v>427</x:v>
      </x:c>
      <x:c r="B26" s="1" t="s">
        <x:v>428</x:v>
      </x:c>
      <x:c r="C26" s="1" t="str">
        <x:v>The vault opened cleanly, but damp had worked there for centuries. Pages clung together like old wounds, and ink bled where hope had been stored. Care may save some of it. Haste will ruin the rest.</x:v>
      </x:c>
      <x:c r="D26" s="1" t="str">
        <x:v>Choose 1 Salvage Tile: +1 Strain.</x:v>
      </x:c>
      <x:c r="E26" s="1" t="str">
        <x:v>Spend 1 Action, pay 2 Herbs, discard.</x:v>
      </x:c>
      <x:c r="F26" s="1" t="str">
        <x:v>Choose 1 Salvage Tile: +2 Strain.</x:v>
      </x:c>
      <x:c r="G26" s="1" t="str">
        <x:v>Spend 1 Action, pay 4 Herbs, discard.</x:v>
      </x:c>
      <x:c r="H26" s="1" t="str">
        <x:v>Choose 1 Salvage Tile: +2 Strain. Then choose 1 adjacent Tile: +1 Strain.</x:v>
      </x:c>
      <x:c r="I26" s="1" t="str">
        <x:v>Spend 1 Action, pay 6 Herbs, discard.</x:v>
      </x:c>
      <x:c r="J26" s="1" t="str">
        <x:v>Salvage Camp / Reclamation Works</x:v>
      </x:c>
    </x:row>
    <x:row r="27" ht="84" customHeight="1">
      <x:c r="A27" s="40" t="s">
        <x:v>429</x:v>
      </x:c>
      <x:c r="B27" s="29" t="s">
        <x:v>430</x:v>
      </x:c>
      <x:c r="C27" s="29" t="s">
        <x:v>431</x:v>
      </x:c>
      <x:c r="D27" s="29" t="str">
        <x:v>Choose Wood, Stone or Food. If 2+ stored, lose 2. Otherwise, 1 Resource Tile: +1 Strain.</x:v>
      </x:c>
      <x:c r="E27" s="29" t="str">
        <x:v>Spend 1 Action, pay 2 Goods, discard.</x:v>
      </x:c>
      <x:c r="F27" s="29" t="str">
        <x:v>Choose a non-Goods resource. If 3+ stored, lose 3. Otherwise, 1 Resource Tile: +2 Strain.</x:v>
      </x:c>
      <x:c r="G27" s="29" t="str">
        <x:v>Spend 1 Action, pay 4 Goods, discard.</x:v>
      </x:c>
      <x:c r="H27" s="29" t="str">
        <x:v>Choose a non-Goods resource. If 5+ stored, lose 5. Otherwise, 2 Resource Tiles: +2 Strain each.</x:v>
      </x:c>
      <x:c r="I27" s="29" t="str">
        <x:v>Spend 1 Action, pay 6 Goods, discard.</x:v>
      </x:c>
      <x:c r="J27" s="29" t="s">
        <x:v>432</x:v>
      </x:c>
    </x:row>
    <x:row r="28" ht="84" customHeight="1">
      <x:c r="A28" s="2" t="s">
        <x:v>433</x:v>
      </x:c>
      <x:c r="B28" s="1" t="s">
        <x:v>434</x:v>
      </x:c>
      <x:c r="C28" s="1" t="s">
        <x:v>435</x:v>
      </x:c>
      <x:c r="D28" s="1" t="str">
        <x:v>Choose 1 active Arrival, if any: pay 1 Herbs or remove 1 timer. If none, no effect.</x:v>
      </x:c>
      <x:c r="E28" s="1" t="str">
        <x:v>Spend 1 Action, pay 2 Herbs, discard.</x:v>
      </x:c>
      <x:c r="F28" s="1" t="str">
        <x:v>Choose up to 2 active Arrivals. Each: pay 1 Herbs or remove 1 timer. If none, no effect.</x:v>
      </x:c>
      <x:c r="G28" s="1" t="str">
        <x:v>Spend 1 Action, pay 4 Herbs, discard.</x:v>
      </x:c>
      <x:c r="H28" s="1" t="str">
        <x:v>Up to 3 active Arrivals. Each: pay 1 Herbs or remove 1 timer. If none, 2 Tiles: +1 Strain each.</x:v>
      </x:c>
      <x:c r="I28" s="1" t="str">
        <x:v>Spend 1 Action, pay 6 Herbs, discard.</x:v>
      </x:c>
      <x:c r="J28" s="1" t="s">
        <x:v>436</x:v>
      </x:c>
    </x:row>
    <x:row r="29" ht="84" customHeight="1">
      <x:c r="A29" s="40" t="s">
        <x:v>437</x:v>
      </x:c>
      <x:c r="B29" s="29" t="s">
        <x:v>438</x:v>
      </x:c>
      <x:c r="C29" s="29" t="s">
        <x:v>439</x:v>
      </x:c>
      <x:c r="D29" s="29" t="str">
        <x:v>Choose 1 Housing Tile: pay 1 Food or 1 Goods, or +1 Strain.</x:v>
      </x:c>
      <x:c r="E29" s="29" t="str">
        <x:v>Spend 1 Action, pay 2 Food/Goods, discard.</x:v>
      </x:c>
      <x:c r="F29" s="29" t="str">
        <x:v>Choose 2 Housing Tiles. Each: pay 1 Food or 1 Goods, or +1 Strain.</x:v>
      </x:c>
      <x:c r="G29" s="29" t="str">
        <x:v>Spend 1 Action, pay 4 Food/Goods, discard.</x:v>
      </x:c>
      <x:c r="H29" s="29" t="str">
        <x:v>Choose 3 Housing Tiles. Each: pay 1 Food or 1 Goods, or +1 Strain.</x:v>
      </x:c>
      <x:c r="I29" s="29" t="str">
        <x:v>Spend 1 Action, pay 6 Food/Goods, discard.</x:v>
      </x:c>
      <x:c r="J29" s="29" t="s">
        <x:v>302</x:v>
      </x:c>
    </x:row>
    <x:row r="30" ht="84" customHeight="1">
      <x:c r="A30" s="2" t="s">
        <x:v>440</x:v>
      </x:c>
      <x:c r="B30" s="1" t="s">
        <x:v>441</x:v>
      </x:c>
      <x:c r="C30" s="1" t="s">
        <x:v>442</x:v>
      </x:c>
      <x:c r="D30" s="1" t="str">
        <x:v>Choose 1 Crafting/Merchant Tile: +1 Strain.</x:v>
      </x:c>
      <x:c r="E30" s="1" t="str">
        <x:v>Spend 1 Action, pay 2 Metal, discard.</x:v>
      </x:c>
      <x:c r="F30" s="1" t="str">
        <x:v>Choose 1 Crafting/Merchant Tile: +1 Strain. Then lose 1 Metal if able.</x:v>
      </x:c>
      <x:c r="G30" s="1" t="str">
        <x:v>Spend 1 Action, pay 4 Metal, discard.</x:v>
      </x:c>
      <x:c r="H30" s="1" t="str">
        <x:v>Choose 2 Crafting/Merchant Tiles: +1 Strain each. Then lose 2 Metal if able.</x:v>
      </x:c>
      <x:c r="I30" s="1" t="str">
        <x:v>Spend 1 Action, pay 6 Metal, discard.</x:v>
      </x:c>
      <x:c r="J30" s="1" t="s">
        <x:v>443</x:v>
      </x:c>
    </x:row>
    <x:row r="31" ht="84" customHeight="1">
      <x:c r="A31" s="40" t="s">
        <x:v>444</x:v>
      </x:c>
      <x:c r="B31" s="29" t="s">
        <x:v>445</x:v>
      </x:c>
      <x:c r="C31" s="29" t="s">
        <x:v>446</x:v>
      </x:c>
      <x:c r="D31" s="29" t="str">
        <x:v>Choose 1 Housing Tile adjacent to Merchant: +1 Strain.</x:v>
      </x:c>
      <x:c r="E31" s="29" t="str">
        <x:v>Spend 1 Action, pay 2 Metal, discard.</x:v>
      </x:c>
      <x:c r="F31" s="29" t="str">
        <x:v>Choose 2 Housing Tiles adjacent to Merchant: +1 Strain each.</x:v>
      </x:c>
      <x:c r="G31" s="29" t="str">
        <x:v>Spend 1 Action, pay 4 Metal, discard.</x:v>
      </x:c>
      <x:c r="H31" s="29" t="str">
        <x:v>Choose 3 Housing Tiles adjacent to Merchant: +1 Strain each. If none, 1 Merchant Tile: +1 Strain.</x:v>
      </x:c>
      <x:c r="I31" s="29" t="str">
        <x:v>Spend 1 Action, pay 6 Metal, discard.</x:v>
      </x:c>
      <x:c r="J31" s="29" t="s">
        <x:v>447</x:v>
      </x:c>
    </x:row>
    <x:row r="32" ht="84" customHeight="1">
      <x:c r="A32" s="151" t="str">
        <x:v>burden_river_breaks_its_banks</x:v>
      </x:c>
      <x:c r="B32" s="156" t="str">
        <x:v>River Breaks Its Banks</x:v>
      </x:c>
      <x:c r="C32" s="156" t="str">
        <x:v>Rain swelled the river through the night. By dawn, ropes had snapped, cellars filled, and tree roots lay exposed where the bank had collapsed into the current.</x:v>
      </x:c>
      <x:c r="D32" s="156" t="str">
        <x:v>Choose 1 Tile beside Water/River: +1 Strain. If none, lose 1 Wood.</x:v>
      </x:c>
      <x:c r="E32" s="156" t="str">
        <x:v>Spend 1 Action, pay 2 Wood, discard.</x:v>
      </x:c>
      <x:c r="F32" s="156" t="str">
        <x:v>Choose 2 Tiles beside Water/River: +1 Strain each. If none, lose 2 Wood.</x:v>
      </x:c>
      <x:c r="G32" s="156" t="str">
        <x:v>Spend 1 Action, pay 4 Wood, discard.</x:v>
      </x:c>
      <x:c r="H32" s="156" t="str">
        <x:v>Choose 3 Tiles beside Water/River: +1 Strain each. If none, lose 3 Wood.</x:v>
      </x:c>
      <x:c r="I32" s="156" t="str">
        <x:v>Spend 1 Action, pay 6 Wood, discard.</x:v>
      </x:c>
      <x:c r="J32" s="156" t="str">
        <x:v>Tile beside Water/River / Warehouse</x:v>
      </x:c>
    </x:row>
    <x:row r="33" ht="84" customHeight="1">
      <x:c r="A33" s="162" t="str">
        <x:v>burden_the_road_takes_its_share</x:v>
      </x:c>
      <x:c r="B33" s="167" t="str">
        <x:v>The Road Takes Its Share</x:v>
      </x:c>
      <x:c r="C33" s="167" t="str">
        <x:v>Sacks split, barrels leaked, and poorly fastened loads worked loose. By dusk, every cart returned lighter, though the labour had taken just as long.</x:v>
      </x:c>
      <x:c r="D33" s="167" t="str">
        <x:v>Next Resource Tile Production this round: −2 resources.</x:v>
      </x:c>
      <x:c r="E33" s="167" t="str">
        <x:v>Spend 1 Action, pay 2 Goods, discard.</x:v>
      </x:c>
      <x:c r="F33" s="167" t="str">
        <x:v>Next 2 Resource Tile Productions this round: −2 resources each.</x:v>
      </x:c>
      <x:c r="G33" s="167" t="str">
        <x:v>Spend 1 Action, pay 4 Goods, discard.</x:v>
      </x:c>
      <x:c r="H33" s="167" t="str">
        <x:v>Each Resource Tile Production this round: −2 resources.</x:v>
      </x:c>
      <x:c r="I33" s="167" t="str">
        <x:v>Spend 1 Action, pay 6 Goods, discard.</x:v>
      </x:c>
      <x:c r="J33" s="167" t="str">
        <x:v>Resource Tile / Production / Warehouse</x:v>
      </x:c>
    </x:row>
    <x:row r="34" ht="84" customHeight="1">
      <x:c r="A34" s="151" t="str">
        <x:v>burden_plans_left_waiting</x:v>
      </x:c>
      <x:c r="B34" s="156" t="str">
        <x:v>Plans Left Waiting</x:v>
      </x:c>
      <x:c r="C34" s="156" t="str">
        <x:v>Every beam called for yet another brace, every footing needed another cart of stone. Dusk came as the work was finally finished, draining stores and resolve alike.</x:v>
      </x:c>
      <x:c r="D34" s="156" t="str">
        <x:v>Next Tile placed/upgraded this round costs 2 more resources.</x:v>
      </x:c>
      <x:c r="E34" s="156" t="str">
        <x:v>Spend 1 Action, pay 2 Food, discard.</x:v>
      </x:c>
      <x:c r="F34" s="156" t="str">
        <x:v>Next 2 Tiles placed/upgraded this round cost 2 more resources each.</x:v>
      </x:c>
      <x:c r="G34" s="156" t="str">
        <x:v>Spend 1 Action, pay 4 Food, discard.</x:v>
      </x:c>
      <x:c r="H34" s="156" t="str">
        <x:v>Each Tile placed/upgraded this round costs 2 more resources.</x:v>
      </x:c>
      <x:c r="I34" s="156" t="str">
        <x:v>Spend 1 Action, pay 6 Food, discard.</x:v>
      </x:c>
      <x:c r="J34" s="156" t="str">
        <x:v>placed Tile / upgraded Tile / Warehouse</x:v>
      </x:c>
    </x:row>
  </x:sheetData>
  <x:conditionalFormatting sqref="B5:B31">
    <x:cfRule type="expression" dxfId="17" priority="1">
      <x:formula>AND(LEN(B5)&gt;=22,LEN(B5)&lt;=24)</x:formula>
    </x:cfRule>
    <x:cfRule type="expression" dxfId="18" priority="2">
      <x:formula>LEN(B5)&gt;24</x:formula>
    </x:cfRule>
  </x:conditionalFormatting>
  <x:conditionalFormatting sqref="C5:C31">
    <x:cfRule type="expression" dxfId="19" priority="3">
      <x:formula>AND(LEN(C5)&gt;=180,LEN(C5)&lt;=200)</x:formula>
    </x:cfRule>
    <x:cfRule type="expression" dxfId="20" priority="4">
      <x:formula>LEN(C5)&gt;200</x:formula>
    </x:cfRule>
  </x:conditionalFormatting>
  <x:conditionalFormatting sqref="D5:D31">
    <x:cfRule type="expression" dxfId="21" priority="5">
      <x:formula>AND(LEN(D5)&gt;=99,LEN(D5)&lt;=110)</x:formula>
    </x:cfRule>
    <x:cfRule type="expression" dxfId="22" priority="6">
      <x:formula>LEN(D5)&gt;110</x:formula>
    </x:cfRule>
  </x:conditionalFormatting>
  <x:conditionalFormatting sqref="F5:F31">
    <x:cfRule type="expression" dxfId="23" priority="7">
      <x:formula>AND(LEN(F5)&gt;=99,LEN(F5)&lt;=110)</x:formula>
    </x:cfRule>
    <x:cfRule type="expression" dxfId="24" priority="8">
      <x:formula>LEN(F5)&gt;110</x:formula>
    </x:cfRule>
  </x:conditionalFormatting>
  <x:conditionalFormatting sqref="H5:H31">
    <x:cfRule type="expression" dxfId="25" priority="9">
      <x:formula>AND(LEN(H5)&gt;=99,LEN(H5)&lt;=110)</x:formula>
    </x:cfRule>
    <x:cfRule type="expression" dxfId="26" priority="10">
      <x:formula>LEN(H5)&gt;110</x:formula>
    </x:cfRule>
  </x:conditionalFormatting>
  <x:conditionalFormatting sqref="E5:E31">
    <x:cfRule type="expression" dxfId="27" priority="11">
      <x:formula>AND(LEN(E5)&gt;=59,LEN(E5)&lt;=65)</x:formula>
    </x:cfRule>
    <x:cfRule type="expression" dxfId="28" priority="12">
      <x:formula>LEN(E5)&gt;65</x:formula>
    </x:cfRule>
  </x:conditionalFormatting>
  <x:conditionalFormatting sqref="G5:G31">
    <x:cfRule type="expression" dxfId="29" priority="13">
      <x:formula>AND(LEN(G5)&gt;=59,LEN(G5)&lt;=65)</x:formula>
    </x:cfRule>
    <x:cfRule type="expression" dxfId="30" priority="14">
      <x:formula>LEN(G5)&gt;65</x:formula>
    </x:cfRule>
  </x:conditionalFormatting>
  <x:conditionalFormatting sqref="I5:I31">
    <x:cfRule type="expression" dxfId="31" priority="15">
      <x:formula>AND(LEN(I5)&gt;=59,LEN(I5)&lt;=65)</x:formula>
    </x:cfRule>
    <x:cfRule type="expression" dxfId="32" priority="16">
      <x:formula>LEN(I5)&gt;65</x:formula>
    </x:cfRule>
  </x:conditionalFormatting>
  <x:conditionalFormatting sqref="A5:A31">
    <x:cfRule type="expression" dxfId="33" priority="17">
      <x:formula>OR(LEN($B5)&gt;24,LEN($C5)&gt;200,LEN($D5)&gt;110,LEN($F5)&gt;110,LEN($H5)&gt;110,LEN($E5)&gt;65,LEN($G5)&gt;65,LEN($I5)&gt;65)</x:formula>
    </x:cfRule>
  </x:conditionalFormatting>
  <x:conditionalFormatting sqref="B32:B32">
    <x:cfRule type="expression" dxfId="75" priority="18">
      <x:formula>LEN(B32)&gt;24</x:formula>
    </x:cfRule>
    <x:cfRule type="expression" dxfId="76" priority="19">
      <x:formula>AND(LEN(B32)&gt;=22,LEN(B32)&lt;=24)</x:formula>
    </x:cfRule>
  </x:conditionalFormatting>
  <x:conditionalFormatting sqref="C32:C32">
    <x:cfRule type="expression" dxfId="77" priority="20">
      <x:formula>LEN(C32)&gt;200</x:formula>
    </x:cfRule>
    <x:cfRule type="expression" dxfId="78" priority="21">
      <x:formula>AND(LEN(C32)&gt;=180,LEN(C32)&lt;=200)</x:formula>
    </x:cfRule>
  </x:conditionalFormatting>
  <x:conditionalFormatting sqref="D32:D32">
    <x:cfRule type="expression" dxfId="79" priority="22">
      <x:formula>LEN(D32)&gt;110</x:formula>
    </x:cfRule>
    <x:cfRule type="expression" dxfId="80" priority="23">
      <x:formula>AND(LEN(D32)&gt;=99,LEN(D32)&lt;=110)</x:formula>
    </x:cfRule>
  </x:conditionalFormatting>
  <x:conditionalFormatting sqref="E32:E32">
    <x:cfRule type="expression" dxfId="81" priority="24">
      <x:formula>LEN(E32)&gt;65</x:formula>
    </x:cfRule>
    <x:cfRule type="expression" dxfId="82" priority="25">
      <x:formula>AND(LEN(E32)&gt;=59,LEN(E32)&lt;=65)</x:formula>
    </x:cfRule>
  </x:conditionalFormatting>
  <x:conditionalFormatting sqref="F32:F32">
    <x:cfRule type="expression" dxfId="83" priority="26">
      <x:formula>LEN(F32)&gt;110</x:formula>
    </x:cfRule>
    <x:cfRule type="expression" dxfId="84" priority="27">
      <x:formula>AND(LEN(F32)&gt;=99,LEN(F32)&lt;=110)</x:formula>
    </x:cfRule>
  </x:conditionalFormatting>
  <x:conditionalFormatting sqref="G32:G32">
    <x:cfRule type="expression" dxfId="85" priority="28">
      <x:formula>LEN(G32)&gt;65</x:formula>
    </x:cfRule>
    <x:cfRule type="expression" dxfId="86" priority="29">
      <x:formula>AND(LEN(G32)&gt;=59,LEN(G32)&lt;=65)</x:formula>
    </x:cfRule>
  </x:conditionalFormatting>
  <x:conditionalFormatting sqref="H32:H32">
    <x:cfRule type="expression" dxfId="87" priority="30">
      <x:formula>LEN(H32)&gt;110</x:formula>
    </x:cfRule>
    <x:cfRule type="expression" dxfId="88" priority="31">
      <x:formula>AND(LEN(H32)&gt;=99,LEN(H32)&lt;=110)</x:formula>
    </x:cfRule>
  </x:conditionalFormatting>
  <x:conditionalFormatting sqref="I32:I32">
    <x:cfRule type="expression" dxfId="89" priority="32">
      <x:formula>LEN(I32)&gt;65</x:formula>
    </x:cfRule>
    <x:cfRule type="expression" dxfId="90" priority="33">
      <x:formula>AND(LEN(I32)&gt;=59,LEN(I32)&lt;=65)</x:formula>
    </x:cfRule>
  </x:conditionalFormatting>
  <x:conditionalFormatting sqref="A32:A32">
    <x:cfRule type="expression" dxfId="91" priority="34">
      <x:formula>OR(LEN($B32)&gt;24,LEN($C32)&gt;200,LEN($D32)&gt;110,LEN($E32)&gt;65,LEN($F32)&gt;110,LEN($G32)&gt;65,LEN($H32)&gt;110,LEN($I32)&gt;65)</x:formula>
    </x:cfRule>
  </x:conditionalFormatting>
  <x:conditionalFormatting sqref="B33:B33">
    <x:cfRule type="expression" dxfId="109" priority="35">
      <x:formula>LEN(B33)&gt;24</x:formula>
    </x:cfRule>
    <x:cfRule type="expression" dxfId="110" priority="36">
      <x:formula>AND(LEN(B33)&gt;=22,LEN(B33)&lt;=24)</x:formula>
    </x:cfRule>
  </x:conditionalFormatting>
  <x:conditionalFormatting sqref="C33:C33">
    <x:cfRule type="expression" dxfId="111" priority="37">
      <x:formula>LEN(C33)&gt;200</x:formula>
    </x:cfRule>
    <x:cfRule type="expression" dxfId="112" priority="38">
      <x:formula>AND(LEN(C33)&gt;=180,LEN(C33)&lt;=200)</x:formula>
    </x:cfRule>
  </x:conditionalFormatting>
  <x:conditionalFormatting sqref="D33:D33">
    <x:cfRule type="expression" dxfId="113" priority="39">
      <x:formula>LEN(D33)&gt;110</x:formula>
    </x:cfRule>
    <x:cfRule type="expression" dxfId="114" priority="40">
      <x:formula>AND(LEN(D33)&gt;=99,LEN(D33)&lt;=110)</x:formula>
    </x:cfRule>
  </x:conditionalFormatting>
  <x:conditionalFormatting sqref="E33:E33">
    <x:cfRule type="expression" dxfId="115" priority="41">
      <x:formula>LEN(E33)&gt;65</x:formula>
    </x:cfRule>
    <x:cfRule type="expression" dxfId="116" priority="42">
      <x:formula>AND(LEN(E33)&gt;=59,LEN(E33)&lt;=65)</x:formula>
    </x:cfRule>
  </x:conditionalFormatting>
  <x:conditionalFormatting sqref="F33:F33">
    <x:cfRule type="expression" dxfId="117" priority="43">
      <x:formula>LEN(F33)&gt;110</x:formula>
    </x:cfRule>
    <x:cfRule type="expression" dxfId="118" priority="44">
      <x:formula>AND(LEN(F33)&gt;=99,LEN(F33)&lt;=110)</x:formula>
    </x:cfRule>
  </x:conditionalFormatting>
  <x:conditionalFormatting sqref="G33:G33">
    <x:cfRule type="expression" dxfId="119" priority="45">
      <x:formula>LEN(G33)&gt;65</x:formula>
    </x:cfRule>
    <x:cfRule type="expression" dxfId="120" priority="46">
      <x:formula>AND(LEN(G33)&gt;=59,LEN(G33)&lt;=65)</x:formula>
    </x:cfRule>
  </x:conditionalFormatting>
  <x:conditionalFormatting sqref="H33:H33">
    <x:cfRule type="expression" dxfId="121" priority="47">
      <x:formula>LEN(H33)&gt;110</x:formula>
    </x:cfRule>
    <x:cfRule type="expression" dxfId="122" priority="48">
      <x:formula>AND(LEN(H33)&gt;=99,LEN(H33)&lt;=110)</x:formula>
    </x:cfRule>
  </x:conditionalFormatting>
  <x:conditionalFormatting sqref="I33:I33">
    <x:cfRule type="expression" dxfId="123" priority="49">
      <x:formula>LEN(I33)&gt;65</x:formula>
    </x:cfRule>
    <x:cfRule type="expression" dxfId="124" priority="50">
      <x:formula>AND(LEN(I33)&gt;=59,LEN(I33)&lt;=65)</x:formula>
    </x:cfRule>
  </x:conditionalFormatting>
  <x:conditionalFormatting sqref="A33:A33">
    <x:cfRule type="expression" dxfId="125" priority="51">
      <x:formula>OR(LEN($B33)&gt;24,LEN($C33)&gt;200,LEN($D33)&gt;110,LEN($E33)&gt;65,LEN($F33)&gt;110,LEN($G33)&gt;65,LEN($H33)&gt;110,LEN($I33)&gt;65)</x:formula>
    </x:cfRule>
  </x:conditionalFormatting>
  <x:conditionalFormatting sqref="B34:B34">
    <x:cfRule type="expression" dxfId="143" priority="52">
      <x:formula>LEN(B34)&gt;24</x:formula>
    </x:cfRule>
    <x:cfRule type="expression" dxfId="144" priority="53">
      <x:formula>AND(LEN(B34)&gt;=22,LEN(B34)&lt;=24)</x:formula>
    </x:cfRule>
  </x:conditionalFormatting>
  <x:conditionalFormatting sqref="C34:C34">
    <x:cfRule type="expression" dxfId="145" priority="54">
      <x:formula>LEN(C34)&gt;200</x:formula>
    </x:cfRule>
    <x:cfRule type="expression" dxfId="146" priority="55">
      <x:formula>AND(LEN(C34)&gt;=180,LEN(C34)&lt;=200)</x:formula>
    </x:cfRule>
  </x:conditionalFormatting>
  <x:conditionalFormatting sqref="D34:D34">
    <x:cfRule type="expression" dxfId="147" priority="56">
      <x:formula>LEN(D34)&gt;110</x:formula>
    </x:cfRule>
    <x:cfRule type="expression" dxfId="148" priority="57">
      <x:formula>AND(LEN(D34)&gt;=99,LEN(D34)&lt;=110)</x:formula>
    </x:cfRule>
  </x:conditionalFormatting>
  <x:conditionalFormatting sqref="E34:E34">
    <x:cfRule type="expression" dxfId="149" priority="58">
      <x:formula>LEN(E34)&gt;65</x:formula>
    </x:cfRule>
    <x:cfRule type="expression" dxfId="150" priority="59">
      <x:formula>AND(LEN(E34)&gt;=59,LEN(E34)&lt;=65)</x:formula>
    </x:cfRule>
  </x:conditionalFormatting>
  <x:conditionalFormatting sqref="F34:F34">
    <x:cfRule type="expression" dxfId="151" priority="60">
      <x:formula>LEN(F34)&gt;110</x:formula>
    </x:cfRule>
    <x:cfRule type="expression" dxfId="152" priority="61">
      <x:formula>AND(LEN(F34)&gt;=99,LEN(F34)&lt;=110)</x:formula>
    </x:cfRule>
  </x:conditionalFormatting>
  <x:conditionalFormatting sqref="G34:G34">
    <x:cfRule type="expression" dxfId="153" priority="62">
      <x:formula>LEN(G34)&gt;65</x:formula>
    </x:cfRule>
    <x:cfRule type="expression" dxfId="154" priority="63">
      <x:formula>AND(LEN(G34)&gt;=59,LEN(G34)&lt;=65)</x:formula>
    </x:cfRule>
  </x:conditionalFormatting>
  <x:conditionalFormatting sqref="H34:H34">
    <x:cfRule type="expression" dxfId="155" priority="64">
      <x:formula>LEN(H34)&gt;110</x:formula>
    </x:cfRule>
    <x:cfRule type="expression" dxfId="156" priority="65">
      <x:formula>AND(LEN(H34)&gt;=99,LEN(H34)&lt;=110)</x:formula>
    </x:cfRule>
  </x:conditionalFormatting>
  <x:conditionalFormatting sqref="I34:I34">
    <x:cfRule type="expression" dxfId="157" priority="66">
      <x:formula>LEN(I34)&gt;65</x:formula>
    </x:cfRule>
    <x:cfRule type="expression" dxfId="158" priority="67">
      <x:formula>AND(LEN(I34)&gt;=59,LEN(I34)&lt;=65)</x:formula>
    </x:cfRule>
  </x:conditionalFormatting>
  <x:conditionalFormatting sqref="A34:A34">
    <x:cfRule type="expression" dxfId="159" priority="68">
      <x:formula>OR(LEN($B34)&gt;24,LEN($C34)&gt;200,LEN($D34)&gt;110,LEN($E34)&gt;65,LEN($F34)&gt;110,LEN($G34)&gt;65,LEN($H34)&gt;110,LEN($I34)&gt;65)</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26" customWidth="1"/>
    <x:col min="2" max="2" width="24" customWidth="1"/>
    <x:col min="3" max="3" width="50" customWidth="1"/>
    <x:col min="4" max="4" width="40" customWidth="1"/>
    <x:col min="5" max="5" width="32" customWidth="1"/>
  </x:cols>
  <x:sheetData>
    <x:row r="1" ht="33.599998474121094" hidden="0" customHeight="1">
      <x:c r="A1" s="32" t="s">
        <x:v>448</x:v>
      </x:c>
      <x:c r="B1" s="33"/>
      <x:c r="C1" s="38"/>
      <x:c r="D1" s="33"/>
      <x:c r="E1" s="33"/>
      <x:c r="F1" s="41"/>
    </x:row>
    <x:row r="2" ht="43.20000076293945" hidden="0" customHeight="1">
      <x:c r="A2" s="35" t="s">
        <x:v>449</x:v>
      </x:c>
      <x:c r="B2" s="36"/>
      <x:c r="C2" s="36"/>
      <x:c r="D2" s="36"/>
      <x:c r="E2" s="36"/>
      <x:c r="F2" s="41"/>
    </x:row>
    <x:row r="3" ht="8.100000381469727" customHeight="1">
      <x:c r="A3" s="23"/>
      <x:c r="B3" s="24"/>
      <x:c r="C3" s="24"/>
      <x:c r="D3" s="24"/>
      <x:c r="E3" s="24"/>
      <x:c r="F3" s="41"/>
    </x:row>
    <x:row r="4" ht="30" customHeight="1">
      <x:c r="A4" s="26" t="s">
        <x:v>262</x:v>
      </x:c>
      <x:c r="B4" s="26" t="s">
        <x:v>263</x:v>
      </x:c>
      <x:c r="C4" s="26" t="s">
        <x:v>264</x:v>
      </x:c>
      <x:c r="D4" s="26" t="s">
        <x:v>450</x:v>
      </x:c>
      <x:c r="E4" s="26" t="s">
        <x:v>451</x:v>
      </x:c>
      <x:c r="F4" s="41"/>
    </x:row>
    <x:row r="5" ht="69.94999694824219" customHeight="1">
      <x:c r="A5" s="27" t="s">
        <x:v>452</x:v>
      </x:c>
      <x:c r="B5" s="28" t="s">
        <x:v>228</x:v>
      </x:c>
      <x:c r="C5" s="28" t="str">
        <x:v>The smallest hands brought acorns. The oldest brought names of groves burned before those children were born. I wrote them together in the ledger. Renewal begins when memory is entrusted to those who will outlive us.</x:v>
      </x:c>
      <x:c r="D5" s="28" t="s">
        <x:v>453</x:v>
      </x:c>
      <x:c r="E5" s="28" t="s">
        <x:v>454</x:v>
      </x:c>
      <x:c r="F5" s="41"/>
    </x:row>
    <x:row r="6" ht="69.94999694824219" customHeight="1">
      <x:c r="A6" s="30" t="s">
        <x:v>455</x:v>
      </x:c>
      <x:c r="B6" s="31" t="s">
        <x:v>220</x:v>
      </x:c>
      <x:c r="C6" s="31" t="s">
        <x:v>456</x:v>
      </x:c>
      <x:c r="D6" s="31" t="s">
        <x:v>457</x:v>
      </x:c>
      <x:c r="E6" s="31" t="s">
        <x:v>458</x:v>
      </x:c>
      <x:c r="F6" s="41"/>
    </x:row>
    <x:row r="7" ht="69.94999694824219" customHeight="1">
      <x:c r="A7" s="27" t="s">
        <x:v>459</x:v>
      </x:c>
      <x:c r="B7" s="28" t="s">
        <x:v>253</x:v>
      </x:c>
      <x:c r="C7" s="28" t="s">
        <x:v>460</x:v>
      </x:c>
      <x:c r="D7" s="28" t="s">
        <x:v>461</x:v>
      </x:c>
      <x:c r="E7" s="28" t="s">
        <x:v>462</x:v>
      </x:c>
      <x:c r="F7" s="41"/>
    </x:row>
    <x:row r="8" ht="69.94999694824219" customHeight="1">
      <x:c r="A8" s="30" t="s">
        <x:v>463</x:v>
      </x:c>
      <x:c r="B8" s="31" t="s">
        <x:v>250</x:v>
      </x:c>
      <x:c r="C8" s="31" t="str">
        <x:v>They asked for herb beds, drying racks, clean water, and clear instruction. Whether preparing tinctures or trimming roots, their discipline was unmistakable. Peace had not softened their hands. It had given them gentler work.</x:v>
      </x:c>
      <x:c r="D8" s="31" t="s">
        <x:v>461</x:v>
      </x:c>
      <x:c r="E8" s="31" t="s">
        <x:v>464</x:v>
      </x:c>
      <x:c r="F8" s="41"/>
    </x:row>
    <x:row r="9" ht="69.94999694824219" customHeight="1">
      <x:c r="A9" s="27" t="s">
        <x:v>465</x:v>
      </x:c>
      <x:c r="B9" s="28" t="s">
        <x:v>240</x:v>
      </x:c>
      <x:c r="C9" s="28" t="s">
        <x:v>466</x:v>
      </x:c>
      <x:c r="D9" s="28" t="s">
        <x:v>467</x:v>
      </x:c>
      <x:c r="E9" s="28" t="s">
        <x:v>468</x:v>
      </x:c>
      <x:c r="F9" s="41"/>
    </x:row>
    <x:row r="10" ht="69.94999694824219" customHeight="1">
      <x:c r="A10" s="30" t="s">
        <x:v>469</x:v>
      </x:c>
      <x:c r="B10" s="31" t="s">
        <x:v>243</x:v>
      </x:c>
      <x:c r="C10" s="31" t="s">
        <x:v>470</x:v>
      </x:c>
      <x:c r="D10" s="31" t="s">
        <x:v>461</x:v>
      </x:c>
      <x:c r="E10" s="31" t="s">
        <x:v>471</x:v>
      </x:c>
      <x:c r="F10" s="41"/>
    </x:row>
    <x:row r="11" ht="69.94999694824219" customHeight="1">
      <x:c r="A11" s="27" t="s">
        <x:v>472</x:v>
      </x:c>
      <x:c r="B11" s="28" t="s">
        <x:v>237</x:v>
      </x:c>
      <x:c r="C11" s="28" t="s">
        <x:v>473</x:v>
      </x:c>
      <x:c r="D11" s="28" t="s">
        <x:v>461</x:v>
      </x:c>
      <x:c r="E11" s="28" t="s">
        <x:v>474</x:v>
      </x:c>
      <x:c r="F11" s="41"/>
    </x:row>
    <x:row r="12" ht="69.94999694824219" customHeight="1">
      <x:c r="A12" s="30" t="s">
        <x:v>475</x:v>
      </x:c>
      <x:c r="B12" s="31" t="s">
        <x:v>203</x:v>
      </x:c>
      <x:c r="C12" s="31" t="s">
        <x:v>476</x:v>
      </x:c>
      <x:c r="D12" s="31" t="s">
        <x:v>477</x:v>
      </x:c>
      <x:c r="E12" s="31" t="s">
        <x:v>478</x:v>
      </x:c>
      <x:c r="F12" s="41"/>
    </x:row>
    <x:row r="13" ht="69.94999694824219" customHeight="1">
      <x:c r="A13" s="27" t="s">
        <x:v>479</x:v>
      </x:c>
      <x:c r="B13" s="28" t="s">
        <x:v>206</x:v>
      </x:c>
      <x:c r="C13" s="28" t="s">
        <x:v>480</x:v>
      </x:c>
      <x:c r="D13" s="28" t="s">
        <x:v>481</x:v>
      </x:c>
      <x:c r="E13" s="28" t="s">
        <x:v>482</x:v>
      </x:c>
      <x:c r="F13" s="41"/>
    </x:row>
    <x:row r="14" ht="69.94999694824219" customHeight="1">
      <x:c r="A14" s="30" t="s">
        <x:v>483</x:v>
      </x:c>
      <x:c r="B14" s="31" t="s">
        <x:v>209</x:v>
      </x:c>
      <x:c r="C14" s="31" t="s">
        <x:v>484</x:v>
      </x:c>
      <x:c r="D14" s="31" t="s">
        <x:v>485</x:v>
      </x:c>
      <x:c r="E14" s="31" t="s">
        <x:v>486</x:v>
      </x:c>
      <x:c r="F14" s="41"/>
    </x:row>
    <x:row r="15" ht="69.94999694824219" customHeight="1">
      <x:c r="A15" s="27" t="s">
        <x:v>487</x:v>
      </x:c>
      <x:c r="B15" s="28" t="s">
        <x:v>259</x:v>
      </x:c>
      <x:c r="C15" s="28" t="s">
        <x:v>488</x:v>
      </x:c>
      <x:c r="D15" s="28" t="s">
        <x:v>489</x:v>
      </x:c>
      <x:c r="E15" s="28" t="s">
        <x:v>490</x:v>
      </x:c>
      <x:c r="F15" s="41"/>
    </x:row>
    <x:row r="16" ht="69.94999694824219" customHeight="1">
      <x:c r="A16" s="30" t="s">
        <x:v>491</x:v>
      </x:c>
      <x:c r="B16" s="31" t="s">
        <x:v>224</x:v>
      </x:c>
      <x:c r="C16" s="31" t="s">
        <x:v>492</x:v>
      </x:c>
      <x:c r="D16" s="31" t="s">
        <x:v>477</x:v>
      </x:c>
      <x:c r="E16" s="31" t="s">
        <x:v>493</x:v>
      </x:c>
      <x:c r="F16" s="41"/>
    </x:row>
    <x:row r="17" ht="69.94999694824219" customHeight="1">
      <x:c r="A17" s="27" t="s">
        <x:v>494</x:v>
      </x:c>
      <x:c r="B17" s="28" t="s">
        <x:v>256</x:v>
      </x:c>
      <x:c r="C17" s="28" t="s">
        <x:v>495</x:v>
      </x:c>
      <x:c r="D17" s="28" t="s">
        <x:v>496</x:v>
      </x:c>
      <x:c r="E17" s="28" t="s">
        <x:v>497</x:v>
      </x:c>
      <x:c r="F17" s="41"/>
    </x:row>
    <x:row r="18" ht="69.94999694824219" customHeight="1">
      <x:c r="A18" s="30" t="s">
        <x:v>498</x:v>
      </x:c>
      <x:c r="B18" s="31" t="s">
        <x:v>184</x:v>
      </x:c>
      <x:c r="C18" s="31" t="str">
        <x:v>By nightfall, canvas and wagons had become a shelter with a working kitchen. Its keepers welcomed every orphan, labourer, refugee, and wanderer who came to the door.</x:v>
      </x:c>
      <x:c r="D18" s="31" t="s">
        <x:v>499</x:v>
      </x:c>
      <x:c r="E18" s="31" t="s">
        <x:v>500</x:v>
      </x:c>
      <x:c r="F18" s="41"/>
    </x:row>
    <x:row r="19" ht="69.94999694824219" customHeight="1">
      <x:c r="A19" s="27" t="s">
        <x:v>501</x:v>
      </x:c>
      <x:c r="B19" s="28" t="s">
        <x:v>187</x:v>
      </x:c>
      <x:c r="C19" s="28" t="str">
        <x:v>Battlefield surgeons and armourers arrived with wooden prosthetics hinged in brass. Their craft carried a simple lesson. The Vale must be built for every body that comes to it.</x:v>
      </x:c>
      <x:c r="D19" s="28" t="s">
        <x:v>489</x:v>
      </x:c>
      <x:c r="E19" s="28" t="s">
        <x:v>502</x:v>
      </x:c>
      <x:c r="F19" s="41"/>
    </x:row>
    <x:row r="20" ht="69.94999694824219" customHeight="1">
      <x:c r="A20" s="30" t="s">
        <x:v>503</x:v>
      </x:c>
      <x:c r="B20" s="31" t="s">
        <x:v>233</x:v>
      </x:c>
      <x:c r="C20" s="31" t="s">
        <x:v>504</x:v>
      </x:c>
      <x:c r="D20" s="31" t="s">
        <x:v>505</x:v>
      </x:c>
      <x:c r="E20" s="31" t="s">
        <x:v>506</x:v>
      </x:c>
      <x:c r="F20" s="41"/>
    </x:row>
    <x:row r="21" ht="69.94999694824219" customHeight="1">
      <x:c r="A21" s="27" t="s">
        <x:v>507</x:v>
      </x:c>
      <x:c r="B21" s="28" t="s">
        <x:v>194</x:v>
      </x:c>
      <x:c r="C21" s="28" t="str">
        <x:v>The vessel bore timber from forgotten ports and ruined warships. Ashore, its crew studied the riverbanks and spoke not of raids, but of trade, crossings, and safer journeys.</x:v>
      </x:c>
      <x:c r="D21" s="28" t="s">
        <x:v>505</x:v>
      </x:c>
      <x:c r="E21" s="28" t="s">
        <x:v>508</x:v>
      </x:c>
      <x:c r="F21" s="41"/>
    </x:row>
    <x:row r="22" ht="69.94999694824219" customHeight="1">
      <x:c r="A22" s="30" t="s">
        <x:v>509</x:v>
      </x:c>
      <x:c r="B22" s="31" t="s">
        <x:v>191</x:v>
      </x:c>
      <x:c r="C22" s="31" t="str">
        <x:v>A settlement without laughter ferments only bitterness, the brewer said. Before I could object, the yard erupted in song. By nightfall, even our most reserved settlers had joined the second verse.</x:v>
      </x:c>
      <x:c r="D22" s="31" t="s">
        <x:v>481</x:v>
      </x:c>
      <x:c r="E22" s="31" t="s">
        <x:v>510</x:v>
      </x:c>
      <x:c r="F22" s="41"/>
    </x:row>
    <x:row r="23" ht="69.94999694824219" customHeight="1">
      <x:c r="A23" s="27" t="s">
        <x:v>511</x:v>
      </x:c>
      <x:c r="B23" s="28" t="s">
        <x:v>200</x:v>
      </x:c>
      <x:c r="C23" s="28" t="s">
        <x:v>512</x:v>
      </x:c>
      <x:c r="D23" s="28" t="s">
        <x:v>499</x:v>
      </x:c>
      <x:c r="E23" s="28" t="s">
        <x:v>513</x:v>
      </x:c>
      <x:c r="F23" s="41"/>
    </x:row>
    <x:row r="24" ht="69.94999694824219" customHeight="1">
      <x:c r="A24" s="30" t="s">
        <x:v>514</x:v>
      </x:c>
      <x:c r="B24" s="31" t="s">
        <x:v>246</x:v>
      </x:c>
      <x:c r="C24" s="31" t="s">
        <x:v>515</x:v>
      </x:c>
      <x:c r="D24" s="31" t="str">
        <x:v>Have a Housing Tile. Pay 2 Herbs, 2 Stone and 2 Metal.</x:v>
      </x:c>
      <x:c r="E24" s="31" t="s">
        <x:v>516</x:v>
      </x:c>
      <x:c r="F24" s="41"/>
    </x:row>
    <x:row r="25" ht="69.94999694824219" customHeight="1">
      <x:c r="A25" s="27" t="s">
        <x:v>517</x:v>
      </x:c>
      <x:c r="B25" s="28" t="s">
        <x:v>216</x:v>
      </x:c>
      <x:c r="C25" s="28" t="s">
        <x:v>518</x:v>
      </x:c>
      <x:c r="D25" s="28" t="s">
        <x:v>453</x:v>
      </x:c>
      <x:c r="E25" s="28" t="s">
        <x:v>519</x:v>
      </x:c>
      <x:c r="F25" s="41"/>
    </x:row>
    <x:row r="26" ht="69.94999694824219" customHeight="1">
      <x:c r="A26" s="30" t="s">
        <x:v>520</x:v>
      </x:c>
      <x:c r="B26" s="31" t="s">
        <x:v>197</x:v>
      </x:c>
      <x:c r="C26" s="31" t="str">
        <x:v>They arrived carrying seeds, recipes, and iron cooking pots blackened by years of use. They promised no miracles, only that hardship need not be faced alone. Community makes strong roots. Strong roots make resilience.</x:v>
      </x:c>
      <x:c r="D26" s="31" t="s">
        <x:v>521</x:v>
      </x:c>
      <x:c r="E26" s="31" t="s">
        <x:v>522</x:v>
      </x:c>
      <x:c r="F26" s="41"/>
    </x:row>
    <x:row r="27" ht="69.94999694824219" customHeight="1">
      <x:c r="A27" s="27" t="s">
        <x:v>523</x:v>
      </x:c>
      <x:c r="B27" s="28" t="s">
        <x:v>177</x:v>
      </x:c>
      <x:c r="C27" s="28" t="s">
        <x:v>524</x:v>
      </x:c>
      <x:c r="D27" s="28" t="s">
        <x:v>525</x:v>
      </x:c>
      <x:c r="E27" s="28" t="s">
        <x:v>526</x:v>
      </x:c>
      <x:c r="F27" s="41"/>
    </x:row>
    <x:row r="28" ht="69.94999694824219" customHeight="1">
      <x:c r="A28" s="30" t="s">
        <x:v>527</x:v>
      </x:c>
      <x:c r="B28" s="31" t="s">
        <x:v>181</x:v>
      </x:c>
      <x:c r="C28" s="31" t="str">
        <x:v>Glass vessels bubbled across the traveller’s broad workbench. They promised unlikely transformations. I remained cautious, though the results were hard to deny.</x:v>
      </x:c>
      <x:c r="D28" s="31" t="s">
        <x:v>528</x:v>
      </x:c>
      <x:c r="E28" s="31" t="s">
        <x:v>529</x:v>
      </x:c>
      <x:c r="F28" s="41"/>
    </x:row>
    <x:row r="29" ht="69.94999694824219" customHeight="1">
      <x:c r="A29" s="27" t="s">
        <x:v>530</x:v>
      </x:c>
      <x:c r="B29" s="28" t="s">
        <x:v>213</x:v>
      </x:c>
      <x:c r="C29" s="28" t="str">
        <x:v>Beneath the broken stones, the old world still sleeps. Its intricate tools remember hands that once cultivated knowledge with great care. Not all that came before us was lost. Some of it was waiting to be found.</x:v>
      </x:c>
      <x:c r="D29" s="28" t="s">
        <x:v>531</x:v>
      </x:c>
      <x:c r="E29" s="28" t="s">
        <x:v>532</x:v>
      </x:c>
      <x:c r="F29" s="41"/>
    </x:row>
  </x:sheetData>
  <x:conditionalFormatting sqref="B5:B29">
    <x:cfRule type="expression" dxfId="34" priority="1">
      <x:formula>AND(LEN(B5)&gt;=22,LEN(B5)&lt;=24)</x:formula>
    </x:cfRule>
    <x:cfRule type="expression" dxfId="35" priority="2">
      <x:formula>LEN(B5)&gt;24</x:formula>
    </x:cfRule>
  </x:conditionalFormatting>
  <x:conditionalFormatting sqref="C5:C29">
    <x:cfRule type="expression" dxfId="36" priority="3">
      <x:formula>AND(LEN(C5)&gt;=212,LEN(C5)&lt;=235)</x:formula>
    </x:cfRule>
    <x:cfRule type="expression" dxfId="37" priority="4">
      <x:formula>LEN(C5)&gt;235</x:formula>
    </x:cfRule>
  </x:conditionalFormatting>
  <x:conditionalFormatting sqref="D5:D29">
    <x:cfRule type="expression" dxfId="38" priority="5">
      <x:formula>AND(LEN(D5)&gt;=54,LEN(D5)&lt;=60)</x:formula>
    </x:cfRule>
    <x:cfRule type="expression" dxfId="39" priority="6">
      <x:formula>LEN(D5)&gt;60</x:formula>
    </x:cfRule>
  </x:conditionalFormatting>
  <x:conditionalFormatting sqref="E5:E29">
    <x:cfRule type="expression" dxfId="40" priority="7">
      <x:formula>AND(LEN(E5)&gt;=36,LEN(E5)&lt;=40)</x:formula>
    </x:cfRule>
    <x:cfRule type="expression" dxfId="41" priority="8">
      <x:formula>LEN(E5)&gt;40</x:formula>
    </x:cfRule>
  </x:conditionalFormatting>
  <x:conditionalFormatting sqref="A5:A29">
    <x:cfRule type="expression" dxfId="42" priority="9">
      <x:formula>OR(LEN($B5)&gt;24,LEN($C5)&gt;235,LEN($D5)&gt;60,LEN($E5)&gt;40)</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28" customWidth="1"/>
    <x:col min="2" max="2" width="24" customWidth="1"/>
    <x:col min="3" max="3" width="48" customWidth="1"/>
    <x:col min="4" max="4" width="58" customWidth="1"/>
    <x:col min="5" max="5" width="22" customWidth="1"/>
    <x:col min="6" max="6" width="36" customWidth="1"/>
  </x:cols>
  <x:sheetData>
    <x:row r="1" ht="50.45000076293945" customHeight="1">
      <x:c r="A1" s="42" t="s">
        <x:v>533</x:v>
      </x:c>
      <x:c r="B1" s="38"/>
      <x:c r="C1" s="38"/>
      <x:c r="D1" s="38"/>
      <x:c r="E1" s="38"/>
      <x:c r="F1" s="43"/>
    </x:row>
    <x:row r="2" ht="43.150001525878906" customHeight="1">
      <x:c r="A2" s="44" t="s">
        <x:v>534</x:v>
      </x:c>
      <x:c r="B2" s="45"/>
      <x:c r="C2" s="45"/>
      <x:c r="D2" s="45"/>
      <x:c r="E2" s="45"/>
      <x:c r="F2" s="46"/>
    </x:row>
    <x:row r="3" ht="15" customHeight="1">
      <x:c r="A3" s="47"/>
      <x:c r="B3" s="48"/>
      <x:c r="C3" s="48"/>
      <x:c r="D3" s="48"/>
      <x:c r="E3" s="48"/>
      <x:c r="F3" s="49"/>
    </x:row>
    <x:row r="4" ht="15" customHeight="1">
      <x:c r="A4" s="39" t="s">
        <x:v>262</x:v>
      </x:c>
      <x:c r="B4" s="39" t="s">
        <x:v>263</x:v>
      </x:c>
      <x:c r="C4" s="39" t="s">
        <x:v>264</x:v>
      </x:c>
      <x:c r="D4" s="39" t="s">
        <x:v>535</x:v>
      </x:c>
      <x:c r="E4" s="39" t="s">
        <x:v>536</x:v>
      </x:c>
      <x:c r="F4" s="39" t="s">
        <x:v>537</x:v>
      </x:c>
    </x:row>
    <x:row r="5" ht="48" customHeight="1">
      <x:c r="A5" s="40" t="s">
        <x:v>538</x:v>
      </x:c>
      <x:c r="B5" s="29" t="s">
        <x:v>539</x:v>
      </x:c>
      <x:c r="C5" s="29" t="s">
        <x:v>540</x:v>
      </x:c>
      <x:c r="D5" s="29" t="str">
        <x:v>When revealed, choose 3 unused Arrival Cards from the box. Shuffle and reveal 1. Place it on the Stewards Board as an active Arrival with 3 timer tokens. Return the other 2 to the box.</x:v>
      </x:c>
      <x:c r="E5" s="29" t="str">
        <x:v>Resolve, then discard.</x:v>
      </x:c>
      <x:c r="F5" s="29" t="str">
        <x:v>Unlocked through Stewards Ledger achievements. Not currently supported by online prototype setup.</x:v>
      </x:c>
    </x:row>
    <x:row r="6" ht="60" customHeight="1">
      <x:c r="A6" s="2" t="s">
        <x:v>541</x:v>
      </x:c>
      <x:c r="B6" s="1" t="s">
        <x:v>542</x:v>
      </x:c>
      <x:c r="C6" s="1" t="s">
        <x:v>543</x:v>
      </x:c>
      <x:c r="D6" s="1" t="str">
        <x:v>When revealed, each player may discard any standard Encounter Cards from their hand, then draw the same number at random from the box. Golden Boons cannot be drawn. If the box runs short, draw as many as possible.</x:v>
      </x:c>
      <x:c r="E6" s="1" t="str">
        <x:v>Resolve, then discard.</x:v>
      </x:c>
      <x:c r="F6" s="1" t="str">
        <x:v>Unlocked through Stewards Ledger achievements. Not currently supported by online prototype setup.</x:v>
      </x:c>
    </x:row>
    <x:row r="7" ht="60" customHeight="1">
      <x:c r="A7" s="40" t="s">
        <x:v>544</x:v>
      </x:c>
      <x:c r="B7" s="29" t="s">
        <x:v>545</x:v>
      </x:c>
      <x:c r="C7" s="29" t="s">
        <x:v>546</x:v>
      </x:c>
      <x:c r="D7" s="29" t="str">
        <x:v>Once per round for the rest of the game, you may place 1 Travel Tile for 0 Actions.</x:v>
      </x:c>
      <x:c r="E7" s="29" t="str">
        <x:v>Keep for the rest of the game.</x:v>
      </x:c>
      <x:c r="F7" s="29" t="str">
        <x:v>Unlocked through Stewards Ledger achievements. Not currently supported by online prototype setup.</x:v>
      </x:c>
    </x:row>
    <x:row r="8" ht="72" customHeight="1">
      <x:c r="A8" s="2" t="s">
        <x:v>547</x:v>
      </x:c>
      <x:c r="B8" s="1" t="s">
        <x:v>548</x:v>
      </x:c>
      <x:c r="C8" s="1" t="s">
        <x:v>549</x:v>
      </x:c>
      <x:c r="D8" s="1" t="str">
        <x:v>After the normal Player Turns this round, resolve 1 additional Player Turns phase. Do not seed, reveal Encounters, remove Arrival timers, resolve end-of-round effects or advance the Round Timer. Each player takes 1 normal turn.</x:v>
      </x:c>
      <x:c r="E8" s="1" t="str">
        <x:v>Resolve, then discard.</x:v>
      </x:c>
      <x:c r="F8" s="1" t="str">
        <x:v>Unlocked through Stewards Ledger achievements. Not currently supported by online prototype setup.</x:v>
      </x:c>
    </x:row>
    <x:row r="9" ht="72" hidden="0" customHeight="1">
      <x:c r="A9" s="40" t="s">
        <x:v>550</x:v>
      </x:c>
      <x:c r="B9" s="29" t="s">
        <x:v>551</x:v>
      </x:c>
      <x:c r="C9" s="29" t="s">
        <x:v>552</x:v>
      </x:c>
      <x:c r="D9" s="29" t="str">
        <x:v>Choose up to 5 placed Tiles. Move each to any legal empty map space, including one vacated by another chosen Tile. Ignore adjacency and reachability, but obey terrain and multi-hex placement rules. Chosen Tiles keep Strain, Supported, upgrade state and tokens. Recalculate connectivity and Overstrained effects.</x:v>
      </x:c>
      <x:c r="E9" s="29" t="str">
        <x:v>Resolve, then discard.</x:v>
      </x:c>
      <x:c r="F9" s="29" t="str">
        <x:v>Unlocked through Stewards Ledger achievements. Not currently supported by online prototype setup.</x:v>
      </x:c>
    </x:row>
    <x:row r="10">
      <x:c r="A10" s="41"/>
      <x:c r="B10" s="41"/>
      <x:c r="C10" s="41"/>
      <x:c r="D10" s="41"/>
      <x:c r="E10" s="41"/>
      <x:c r="F10" s="41"/>
    </x:row>
    <x:row r="11">
      <x:c r="A11" s="41"/>
      <x:c r="B11" s="41"/>
      <x:c r="C11" s="41"/>
      <x:c r="D11" s="41"/>
      <x:c r="E11" s="41"/>
      <x:c r="F11" s="41"/>
    </x:row>
    <x:row r="12">
      <x:c r="A12" s="41"/>
      <x:c r="B12" s="41"/>
      <x:c r="C12" s="41"/>
      <x:c r="D12" s="41"/>
      <x:c r="E12" s="41"/>
      <x:c r="F12" s="41"/>
    </x:row>
    <x:row r="13">
      <x:c r="A13" s="41"/>
      <x:c r="B13" s="41"/>
      <x:c r="C13" s="41"/>
      <x:c r="D13" s="41"/>
      <x:c r="E13" s="41"/>
      <x:c r="F13" s="41"/>
    </x:row>
    <x:row r="14">
      <x:c r="A14" s="41"/>
      <x:c r="B14" s="41"/>
      <x:c r="C14" s="41"/>
      <x:c r="D14" s="41"/>
      <x:c r="E14" s="41"/>
      <x:c r="F14" s="41"/>
    </x:row>
    <x:row r="15">
      <x:c r="A15" s="41"/>
      <x:c r="B15" s="41"/>
      <x:c r="C15" s="41"/>
      <x:c r="D15" s="41"/>
      <x:c r="E15" s="41"/>
      <x:c r="F15" s="41"/>
    </x:row>
    <x:row r="16">
      <x:c r="A16" s="41"/>
      <x:c r="B16" s="41"/>
      <x:c r="C16" s="41"/>
      <x:c r="D16" s="41"/>
      <x:c r="E16" s="41"/>
      <x:c r="F16" s="41"/>
    </x:row>
  </x:sheetData>
  <x:conditionalFormatting sqref="B5:B9">
    <x:cfRule type="expression" dxfId="43" priority="1">
      <x:formula>AND(LEN(B5)&gt;=25,LEN(B5)&lt;=28)</x:formula>
    </x:cfRule>
    <x:cfRule type="expression" dxfId="44" priority="2">
      <x:formula>LEN(B5)&gt;28</x:formula>
    </x:cfRule>
  </x:conditionalFormatting>
  <x:conditionalFormatting sqref="C5:C9">
    <x:cfRule type="expression" dxfId="45" priority="3">
      <x:formula>AND(LEN(C5)&gt;=207,LEN(C5)&lt;=230)</x:formula>
    </x:cfRule>
    <x:cfRule type="expression" dxfId="46" priority="4">
      <x:formula>LEN(C5)&gt;230</x:formula>
    </x:cfRule>
  </x:conditionalFormatting>
  <x:conditionalFormatting sqref="D5:D9">
    <x:cfRule type="expression" dxfId="47" priority="5">
      <x:formula>AND(LEN(D5)&gt;=387,LEN(D5)&lt;=430)</x:formula>
    </x:cfRule>
    <x:cfRule type="expression" dxfId="48" priority="6">
      <x:formula>LEN(D5)&gt;430</x:formula>
    </x:cfRule>
  </x:conditionalFormatting>
  <x:conditionalFormatting sqref="E5:E9">
    <x:cfRule type="expression" dxfId="49" priority="7">
      <x:formula>AND(LEN(E5)&gt;=45,LEN(E5)&lt;=50)</x:formula>
    </x:cfRule>
    <x:cfRule type="expression" dxfId="50" priority="8">
      <x:formula>LEN(E5)&gt;50</x:formula>
    </x:cfRule>
  </x:conditionalFormatting>
  <x:conditionalFormatting sqref="A5:A9">
    <x:cfRule type="expression" dxfId="51" priority="9">
      <x:formula>OR(LEN($B5)&gt;28,LEN($C5)&gt;230,LEN($D5)&gt;430,LEN($E5)&gt;50)</x:formula>
    </x:cfRule>
  </x:conditionalFormatting>
  <x:pageMargins left="0.7" right="0.7" top="0.75" bottom="0.75" header="0.3" footer="0.3"/>
</x:worksheet>
</file>

<file path=xl/worksheets/sheet7.xml><?xml version="1.0" encoding="utf-8"?>
<x:worksheet xmlns:x="http://schemas.openxmlformats.org/spreadsheetml/2006/main">
  <x:sheetFormatPr defaultRowHeight="14.25"/>
  <x:cols>
    <x:col min="1" max="1" width="14" customWidth="1"/>
    <x:col min="2" max="2" width="22" customWidth="1"/>
    <x:col min="3" max="3" width="12" customWidth="1"/>
    <x:col min="4" max="4" width="16" customWidth="1"/>
    <x:col min="5" max="5" width="12" customWidth="1"/>
    <x:col min="6" max="6" width="10" customWidth="1"/>
    <x:col min="7" max="7" width="36" customWidth="1"/>
    <x:col min="8" max="8" width="42" customWidth="1"/>
    <x:col min="9" max="10" width="12" customWidth="1"/>
    <x:col min="11" max="11" width="42" customWidth="1"/>
    <x:col min="12" max="12" width="28" customWidth="1"/>
    <x:col min="13" max="13" width="34" customWidth="1"/>
    <x:col min="14" max="14" width="20" customWidth="1"/>
  </x:cols>
  <x:sheetData>
    <x:row r="1" ht="67.1500015258789" customHeight="1">
      <x:c r="A1" s="59" t="s">
        <x:v>553</x:v>
      </x:c>
      <x:c r="B1" s="59"/>
      <x:c r="C1" s="59"/>
      <x:c r="D1" s="59"/>
      <x:c r="E1" s="59"/>
      <x:c r="F1" s="59"/>
      <x:c r="G1" s="59"/>
      <x:c r="H1" s="59"/>
      <x:c r="I1" s="59"/>
      <x:c r="J1" s="59"/>
      <x:c r="K1" s="59"/>
      <x:c r="L1" s="59"/>
      <x:c r="M1" s="59"/>
      <x:c r="N1" s="59"/>
      <x:c r="O1" s="41"/>
    </x:row>
    <x:row r="2" ht="31.5" customHeight="1">
      <x:c r="A2" s="60" t="s">
        <x:v>554</x:v>
      </x:c>
      <x:c r="B2" s="60"/>
      <x:c r="C2" s="60"/>
      <x:c r="D2" s="60"/>
      <x:c r="E2" s="60"/>
      <x:c r="F2" s="60"/>
      <x:c r="G2" s="60"/>
      <x:c r="H2" s="60"/>
      <x:c r="I2" s="60"/>
      <x:c r="J2" s="60"/>
      <x:c r="K2" s="60"/>
      <x:c r="L2" s="60"/>
      <x:c r="M2" s="60"/>
      <x:c r="N2" s="60"/>
      <x:c r="O2" s="41"/>
    </x:row>
    <x:row r="3" ht="14.25" customHeight="1">
      <x:c r="A3" s="4"/>
      <x:c r="B3" s="4"/>
      <x:c r="C3" s="4"/>
      <x:c r="D3" s="4"/>
      <x:c r="E3" s="4"/>
      <x:c r="F3" s="4"/>
      <x:c r="G3" s="4"/>
      <x:c r="H3" s="4"/>
      <x:c r="I3" s="4"/>
      <x:c r="J3" s="4"/>
      <x:c r="K3" s="4"/>
      <x:c r="L3" s="4"/>
      <x:c r="M3" s="4"/>
      <x:c r="N3" s="4"/>
      <x:c r="O3" s="41"/>
    </x:row>
    <x:row r="4" ht="26.450000762939453" customHeight="1">
      <x:c r="A4" s="5" t="s">
        <x:v>2</x:v>
      </x:c>
      <x:c r="B4" s="5" t="s">
        <x:v>555</x:v>
      </x:c>
      <x:c r="C4" s="5" t="s">
        <x:v>3</x:v>
      </x:c>
      <x:c r="D4" s="5" t="s">
        <x:v>4</x:v>
      </x:c>
      <x:c r="E4" s="5" t="s">
        <x:v>6</x:v>
      </x:c>
      <x:c r="F4" s="5" t="s">
        <x:v>7</x:v>
      </x:c>
      <x:c r="G4" s="5" t="s">
        <x:v>556</x:v>
      </x:c>
      <x:c r="H4" s="5" t="s">
        <x:v>557</x:v>
      </x:c>
      <x:c r="I4" s="5" t="s">
        <x:v>172</x:v>
      </x:c>
      <x:c r="J4" s="5" t="s">
        <x:v>173</x:v>
      </x:c>
      <x:c r="K4" s="5" t="s">
        <x:v>558</x:v>
      </x:c>
      <x:c r="L4" s="5" t="s">
        <x:v>559</x:v>
      </x:c>
      <x:c r="M4" s="5" t="s">
        <x:v>560</x:v>
      </x:c>
      <x:c r="N4" s="5" t="s">
        <x:v>561</x:v>
      </x:c>
      <x:c r="O4" s="41"/>
    </x:row>
    <x:row r="5" ht="79.1500015258789" customHeight="1">
      <x:c r="A5" s="3" t="s">
        <x:v>562</x:v>
      </x:c>
      <x:c r="B5" s="3" t="s">
        <x:v>563</x:v>
      </x:c>
      <x:c r="C5" s="3" t="s">
        <x:v>564</x:v>
      </x:c>
      <x:c r="D5" s="3" t="s">
        <x:v>565</x:v>
      </x:c>
      <x:c r="E5" s="3">
        <x:v>1</x:v>
      </x:c>
      <x:c r="F5" s="3">
        <x:v>1</x:v>
      </x:c>
      <x:c r="G5" s="3" t="s">
        <x:v>566</x:v>
      </x:c>
      <x:c r="H5" s="3" t="s">
        <x:v>567</x:v>
      </x:c>
      <x:c r="I5" s="3">
        <x:v>0</x:v>
      </x:c>
      <x:c r="J5" s="3">
        <x:v>0</x:v>
      </x:c>
      <x:c r="K5" s="3" t="s">
        <x:v>568</x:v>
      </x:c>
      <x:c r="L5" s="3" t="s">
        <x:v>569</x:v>
      </x:c>
      <x:c r="M5" s="3" t="s">
        <x:v>570</x:v>
      </x:c>
      <x:c r="N5" s="3" t="s">
        <x:v>539</x:v>
      </x:c>
      <x:c r="O5" s="41"/>
    </x:row>
    <x:row r="6" ht="79.1500015258789" customHeight="1">
      <x:c r="A6" s="3" t="s">
        <x:v>571</x:v>
      </x:c>
      <x:c r="B6" s="3" t="s">
        <x:v>572</x:v>
      </x:c>
      <x:c r="C6" s="3" t="s">
        <x:v>564</x:v>
      </x:c>
      <x:c r="D6" s="3" t="s">
        <x:v>565</x:v>
      </x:c>
      <x:c r="E6" s="3">
        <x:v>1</x:v>
      </x:c>
      <x:c r="F6" s="3">
        <x:v>1</x:v>
      </x:c>
      <x:c r="G6" s="3" t="s">
        <x:v>573</x:v>
      </x:c>
      <x:c r="H6" s="3" t="s">
        <x:v>574</x:v>
      </x:c>
      <x:c r="I6" s="3">
        <x:v>0</x:v>
      </x:c>
      <x:c r="J6" s="3">
        <x:v>0</x:v>
      </x:c>
      <x:c r="K6" s="3" t="s">
        <x:v>575</x:v>
      </x:c>
      <x:c r="L6" s="3" t="s">
        <x:v>576</x:v>
      </x:c>
      <x:c r="M6" s="3" t="s">
        <x:v>577</x:v>
      </x:c>
      <x:c r="N6" s="3" t="s">
        <x:v>542</x:v>
      </x:c>
      <x:c r="O6" s="41"/>
    </x:row>
    <x:row r="7" ht="79.1500015258789" customHeight="1">
      <x:c r="A7" s="3" t="s">
        <x:v>578</x:v>
      </x:c>
      <x:c r="B7" s="3" t="s">
        <x:v>579</x:v>
      </x:c>
      <x:c r="C7" s="3" t="s">
        <x:v>564</x:v>
      </x:c>
      <x:c r="D7" s="3" t="s">
        <x:v>565</x:v>
      </x:c>
      <x:c r="E7" s="3">
        <x:v>1</x:v>
      </x:c>
      <x:c r="F7" s="3">
        <x:v>1</x:v>
      </x:c>
      <x:c r="G7" s="3" t="s">
        <x:v>580</x:v>
      </x:c>
      <x:c r="H7" s="3" t="s">
        <x:v>581</x:v>
      </x:c>
      <x:c r="I7" s="3">
        <x:v>0</x:v>
      </x:c>
      <x:c r="J7" s="3">
        <x:v>0</x:v>
      </x:c>
      <x:c r="K7" s="3" t="s">
        <x:v>582</x:v>
      </x:c>
      <x:c r="L7" s="3" t="s">
        <x:v>583</x:v>
      </x:c>
      <x:c r="M7" s="3" t="s">
        <x:v>584</x:v>
      </x:c>
      <x:c r="N7" s="3" t="s">
        <x:v>545</x:v>
      </x:c>
      <x:c r="O7" s="41"/>
    </x:row>
    <x:row r="8" ht="79.1500015258789" customHeight="1">
      <x:c r="A8" s="3" t="s">
        <x:v>585</x:v>
      </x:c>
      <x:c r="B8" s="3" t="s">
        <x:v>586</x:v>
      </x:c>
      <x:c r="C8" s="3" t="s">
        <x:v>564</x:v>
      </x:c>
      <x:c r="D8" s="3" t="s">
        <x:v>565</x:v>
      </x:c>
      <x:c r="E8" s="3">
        <x:v>1</x:v>
      </x:c>
      <x:c r="F8" s="3">
        <x:v>1</x:v>
      </x:c>
      <x:c r="G8" s="3" t="s">
        <x:v>587</x:v>
      </x:c>
      <x:c r="H8" s="3" t="s">
        <x:v>588</x:v>
      </x:c>
      <x:c r="I8" s="3">
        <x:v>0</x:v>
      </x:c>
      <x:c r="J8" s="3">
        <x:v>0</x:v>
      </x:c>
      <x:c r="K8" s="3" t="s">
        <x:v>589</x:v>
      </x:c>
      <x:c r="L8" s="3" t="s">
        <x:v>590</x:v>
      </x:c>
      <x:c r="M8" s="3" t="s">
        <x:v>591</x:v>
      </x:c>
      <x:c r="N8" s="3" t="s">
        <x:v>548</x:v>
      </x:c>
      <x:c r="O8" s="41"/>
    </x:row>
    <x:row r="9" ht="79.1500015258789" customHeight="1">
      <x:c r="A9" s="3" t="s">
        <x:v>592</x:v>
      </x:c>
      <x:c r="B9" s="3" t="s">
        <x:v>593</x:v>
      </x:c>
      <x:c r="C9" s="3" t="s">
        <x:v>564</x:v>
      </x:c>
      <x:c r="D9" s="3" t="s">
        <x:v>565</x:v>
      </x:c>
      <x:c r="E9" s="3">
        <x:v>1</x:v>
      </x:c>
      <x:c r="F9" s="3">
        <x:v>1</x:v>
      </x:c>
      <x:c r="G9" s="3" t="s">
        <x:v>594</x:v>
      </x:c>
      <x:c r="H9" s="3" t="s">
        <x:v>595</x:v>
      </x:c>
      <x:c r="I9" s="3">
        <x:v>0</x:v>
      </x:c>
      <x:c r="J9" s="3">
        <x:v>0</x:v>
      </x:c>
      <x:c r="K9" s="3" t="s">
        <x:v>596</x:v>
      </x:c>
      <x:c r="L9" s="3" t="s">
        <x:v>597</x:v>
      </x:c>
      <x:c r="M9" s="3" t="s">
        <x:v>598</x:v>
      </x:c>
      <x:c r="N9" s="3" t="s">
        <x:v>551</x:v>
      </x:c>
      <x:c r="O9" s="41"/>
    </x:row>
    <x:row r="10">
      <x:c r="A10" s="41"/>
      <x:c r="B10" s="41"/>
      <x:c r="C10" s="41"/>
      <x:c r="D10" s="41"/>
      <x:c r="E10" s="41"/>
      <x:c r="F10" s="41"/>
      <x:c r="G10" s="41"/>
      <x:c r="H10" s="41"/>
      <x:c r="I10" s="41"/>
      <x:c r="J10" s="41"/>
      <x:c r="K10" s="41"/>
      <x:c r="L10" s="41"/>
      <x:c r="M10" s="41"/>
      <x:c r="N10" s="41"/>
      <x:c r="O10" s="41"/>
    </x:row>
    <x:row r="11">
      <x:c r="A11" s="41"/>
      <x:c r="B11" s="41"/>
      <x:c r="C11" s="41"/>
      <x:c r="D11" s="41"/>
      <x:c r="E11" s="41"/>
      <x:c r="F11" s="41"/>
      <x:c r="G11" s="41"/>
      <x:c r="H11" s="41"/>
      <x:c r="I11" s="41"/>
      <x:c r="J11" s="41"/>
      <x:c r="K11" s="41"/>
      <x:c r="L11" s="41"/>
      <x:c r="M11" s="41"/>
      <x:c r="N11" s="41"/>
      <x:c r="O11" s="41"/>
    </x:row>
    <x:row r="12">
      <x:c r="A12" s="41"/>
      <x:c r="B12" s="41"/>
      <x:c r="C12" s="41"/>
      <x:c r="D12" s="41"/>
      <x:c r="E12" s="41"/>
      <x:c r="F12" s="41"/>
      <x:c r="G12" s="41"/>
      <x:c r="H12" s="41"/>
      <x:c r="I12" s="41"/>
      <x:c r="J12" s="41"/>
      <x:c r="K12" s="41"/>
      <x:c r="L12" s="41"/>
      <x:c r="M12" s="41"/>
      <x:c r="N12" s="41"/>
      <x:c r="O12" s="41"/>
    </x:row>
    <x:row r="13">
      <x:c r="A13" s="41"/>
      <x:c r="B13" s="41"/>
      <x:c r="C13" s="41"/>
      <x:c r="D13" s="41"/>
      <x:c r="E13" s="41"/>
      <x:c r="F13" s="41"/>
      <x:c r="G13" s="41"/>
      <x:c r="H13" s="41"/>
      <x:c r="I13" s="41"/>
      <x:c r="J13" s="41"/>
      <x:c r="K13" s="41"/>
      <x:c r="L13" s="41"/>
      <x:c r="M13" s="41"/>
      <x:c r="N13" s="41"/>
      <x:c r="O13" s="41"/>
    </x:row>
    <x:row r="14">
      <x:c r="A14" s="41"/>
      <x:c r="B14" s="41"/>
      <x:c r="C14" s="41"/>
      <x:c r="D14" s="41"/>
      <x:c r="E14" s="41"/>
      <x:c r="F14" s="41"/>
      <x:c r="G14" s="41"/>
      <x:c r="H14" s="41"/>
      <x:c r="I14" s="41"/>
      <x:c r="J14" s="41"/>
      <x:c r="K14" s="41"/>
      <x:c r="L14" s="41"/>
      <x:c r="M14" s="41"/>
      <x:c r="N14" s="41"/>
      <x:c r="O14" s="41"/>
    </x:row>
    <x:row r="15">
      <x:c r="A15" s="41"/>
      <x:c r="B15" s="41"/>
      <x:c r="C15" s="41"/>
      <x:c r="D15" s="41"/>
      <x:c r="E15" s="41"/>
      <x:c r="F15" s="41"/>
      <x:c r="G15" s="41"/>
      <x:c r="H15" s="41"/>
      <x:c r="I15" s="41"/>
      <x:c r="J15" s="41"/>
      <x:c r="K15" s="41"/>
      <x:c r="L15" s="41"/>
      <x:c r="M15" s="41"/>
      <x:c r="N15" s="41"/>
      <x:c r="O15" s="41"/>
    </x:row>
    <x:row r="16">
      <x:c r="A16" s="41"/>
      <x:c r="B16" s="41"/>
      <x:c r="C16" s="41"/>
      <x:c r="D16" s="41"/>
      <x:c r="E16" s="41"/>
      <x:c r="F16" s="41"/>
      <x:c r="G16" s="41"/>
      <x:c r="H16" s="41"/>
      <x:c r="I16" s="41"/>
      <x:c r="J16" s="41"/>
      <x:c r="K16" s="41"/>
      <x:c r="L16" s="41"/>
      <x:c r="M16" s="41"/>
      <x:c r="N16" s="41"/>
      <x:c r="O16" s="41"/>
    </x:row>
  </x:sheetData>
  <x:mergeCells>
    <x:mergeCell ref="A1:N1"/>
    <x:mergeCell ref="A2:N2"/>
  </x:mergeCells>
  <x:pageMargins left="0.7" right="0.7" top="0.75" bottom="0.75" header="0.3" footer="0.3"/>
</x:worksheet>
</file>

<file path=xl/worksheets/sheet8.xml><?xml version="1.0" encoding="utf-8"?>
<x:worksheet xmlns:x="http://schemas.openxmlformats.org/spreadsheetml/2006/main">
  <x:sheetFormatPr defaultRowHeight="15"/>
  <x:cols>
    <x:col min="1" max="1" width="18" customWidth="1"/>
    <x:col min="2" max="2" width="20" customWidth="1"/>
    <x:col min="3" max="3" width="13" customWidth="1"/>
    <x:col min="4" max="4" width="16" customWidth="1"/>
    <x:col min="5" max="5" width="22" customWidth="1"/>
    <x:col min="6" max="6" width="11" customWidth="1"/>
    <x:col min="7" max="7" width="14" customWidth="1"/>
    <x:col min="8" max="8" width="24" customWidth="1"/>
  </x:cols>
  <x:sheetData>
    <x:row r="1" ht="27.950000762939453" customHeight="1">
      <x:c r="A1" s="62" t="s">
        <x:v>599</x:v>
      </x:c>
      <x:c r="B1" s="62"/>
      <x:c r="C1" s="62"/>
      <x:c r="D1" s="62"/>
      <x:c r="E1" s="62"/>
      <x:c r="F1" s="62"/>
      <x:c r="G1" s="62"/>
      <x:c r="H1" s="62"/>
    </x:row>
    <x:row r="2" ht="27.950000762939453" customHeight="1">
      <x:c r="A2" s="63" t="s">
        <x:v>600</x:v>
      </x:c>
      <x:c r="B2" s="63"/>
      <x:c r="C2" s="63"/>
      <x:c r="D2" s="63"/>
      <x:c r="E2" s="63"/>
      <x:c r="F2" s="63"/>
      <x:c r="G2" s="63"/>
      <x:c r="H2" s="63"/>
    </x:row>
    <x:row r="4" ht="21.950000762939453" customHeight="1">
      <x:c r="A4" s="50" t="s">
        <x:v>601</x:v>
      </x:c>
      <x:c r="B4" s="64" t="s">
        <x:v>602</x:v>
      </x:c>
      <x:c r="C4" s="64"/>
      <x:c r="D4" s="64"/>
      <x:c r="E4" s="64"/>
      <x:c r="F4" s="64"/>
      <x:c r="G4" s="64"/>
      <x:c r="H4" s="64"/>
    </x:row>
    <x:row r="5" ht="30" customHeight="1">
      <x:c r="A5" s="51" t="s">
        <x:v>603</x:v>
      </x:c>
      <x:c r="B5" s="61" t="s">
        <x:v>604</x:v>
      </x:c>
      <x:c r="C5" s="61"/>
      <x:c r="D5" s="61"/>
      <x:c r="E5" s="61"/>
      <x:c r="F5" s="61"/>
      <x:c r="G5" s="61"/>
      <x:c r="H5" s="61"/>
    </x:row>
    <x:row r="6" ht="30" customHeight="1">
      <x:c r="A6" s="51" t="s">
        <x:v>605</x:v>
      </x:c>
      <x:c r="B6" s="61" t="s">
        <x:v>606</x:v>
      </x:c>
      <x:c r="C6" s="61"/>
      <x:c r="D6" s="61"/>
      <x:c r="E6" s="61"/>
      <x:c r="F6" s="61"/>
      <x:c r="G6" s="61"/>
      <x:c r="H6" s="61"/>
    </x:row>
    <x:row r="7" ht="30" customHeight="1">
      <x:c r="A7" s="51" t="s">
        <x:v>607</x:v>
      </x:c>
      <x:c r="B7" s="61" t="s">
        <x:v>608</x:v>
      </x:c>
      <x:c r="C7" s="61"/>
      <x:c r="D7" s="61"/>
      <x:c r="E7" s="61"/>
      <x:c r="F7" s="61"/>
      <x:c r="G7" s="61"/>
      <x:c r="H7" s="61"/>
    </x:row>
    <x:row r="8" ht="30" customHeight="1">
      <x:c r="A8" s="51" t="s">
        <x:v>609</x:v>
      </x:c>
      <x:c r="B8" s="61" t="s">
        <x:v>610</x:v>
      </x:c>
      <x:c r="C8" s="61"/>
      <x:c r="D8" s="61"/>
      <x:c r="E8" s="61"/>
      <x:c r="F8" s="61"/>
      <x:c r="G8" s="61"/>
      <x:c r="H8" s="61"/>
    </x:row>
    <x:row r="9" ht="30" customHeight="1">
      <x:c r="A9" s="51" t="s">
        <x:v>611</x:v>
      </x:c>
      <x:c r="B9" s="61" t="str">
        <x:v>Tile class, tile side, adjacency, then current Strain. Apply each line only when at least one current candidate matches. Never restore a removed tile.</x:v>
      </x:c>
      <x:c r="C9" s="61"/>
      <x:c r="D9" s="61"/>
      <x:c r="E9" s="61"/>
      <x:c r="F9" s="61"/>
      <x:c r="G9" s="61"/>
      <x:c r="H9" s="61"/>
    </x:row>
    <x:row r="10" ht="42" customHeight="1">
      <x:c r="A10" s="51" t="s">
        <x:v>612</x:v>
      </x:c>
      <x:c r="B10" s="61" t="s">
        <x:v>613</x:v>
      </x:c>
      <x:c r="C10" s="61"/>
      <x:c r="D10" s="61"/>
      <x:c r="E10" s="61"/>
      <x:c r="F10" s="61"/>
      <x:c r="G10" s="61"/>
      <x:c r="H10" s="61"/>
    </x:row>
    <x:row r="11" ht="42" customHeight="1">
      <x:c r="A11" s="51" t="s">
        <x:v>614</x:v>
      </x:c>
      <x:c r="B11" s="61" t="s">
        <x:v>615</x:v>
      </x:c>
      <x:c r="C11" s="61"/>
      <x:c r="D11" s="61"/>
      <x:c r="E11" s="61"/>
      <x:c r="F11" s="61"/>
      <x:c r="G11" s="61"/>
      <x:c r="H11" s="61"/>
    </x:row>
    <x:row r="12" ht="42" customHeight="1">
      <x:c r="A12" s="51" t="s">
        <x:v>616</x:v>
      </x:c>
      <x:c r="B12" s="61" t="s">
        <x:v>617</x:v>
      </x:c>
      <x:c r="C12" s="61"/>
      <x:c r="D12" s="61"/>
      <x:c r="E12" s="61"/>
      <x:c r="F12" s="61"/>
      <x:c r="G12" s="61"/>
      <x:c r="H12" s="61"/>
    </x:row>
    <x:row r="14" ht="15" customHeight="1">
      <x:c r="A14" s="50" t="s">
        <x:v>618</x:v>
      </x:c>
      <x:c r="B14" s="50" t="s">
        <x:v>619</x:v>
      </x:c>
      <x:c r="C14" s="50" t="s">
        <x:v>620</x:v>
      </x:c>
      <x:c r="D14" s="50" t="s">
        <x:v>621</x:v>
      </x:c>
      <x:c r="E14" s="50" t="s">
        <x:v>622</x:v>
      </x:c>
      <x:c r="F14" s="50" t="s">
        <x:v>612</x:v>
      </x:c>
      <x:c r="G14" s="50" t="s">
        <x:v>623</x:v>
      </x:c>
      <x:c r="H14" s="50" t="s">
        <x:v>174</x:v>
      </x:c>
    </x:row>
    <x:row r="15" ht="15" customHeight="1">
      <x:c r="A15" s="51">
        <x:v>1</x:v>
      </x:c>
      <x:c r="B15" s="51" t="s">
        <x:v>20</x:v>
      </x:c>
      <x:c r="C15" s="51" t="s">
        <x:v>624</x:v>
      </x:c>
      <x:c r="D15" s="51" t="s">
        <x:v>625</x:v>
      </x:c>
      <x:c r="E15" s="51" t="s">
        <x:v>626</x:v>
      </x:c>
      <x:c r="F15" s="51" t="s">
        <x:v>627</x:v>
      </x:c>
      <x:c r="G15" s="51">
        <x:v>13</x:v>
      </x:c>
      <x:c r="H15" s="51" t="s">
        <x:v>628</x:v>
      </x:c>
    </x:row>
    <x:row r="16" ht="15" customHeight="1">
      <x:c r="A16" s="51">
        <x:v>2</x:v>
      </x:c>
      <x:c r="B16" s="51" t="s">
        <x:v>20</x:v>
      </x:c>
      <x:c r="C16" s="51" t="s">
        <x:v>624</x:v>
      </x:c>
      <x:c r="D16" s="51" t="s">
        <x:v>625</x:v>
      </x:c>
      <x:c r="E16" s="51" t="s">
        <x:v>629</x:v>
      </x:c>
      <x:c r="F16" s="51" t="s">
        <x:v>630</x:v>
      </x:c>
      <x:c r="G16" s="51">
        <x:v>14</x:v>
      </x:c>
      <x:c r="H16" s="51" t="s">
        <x:v>628</x:v>
      </x:c>
    </x:row>
    <x:row r="17" ht="15" customHeight="1">
      <x:c r="A17" s="51">
        <x:v>3</x:v>
      </x:c>
      <x:c r="B17" s="51" t="s">
        <x:v>20</x:v>
      </x:c>
      <x:c r="C17" s="51" t="s">
        <x:v>624</x:v>
      </x:c>
      <x:c r="D17" s="51" t="s">
        <x:v>631</x:v>
      </x:c>
      <x:c r="E17" s="51" t="s">
        <x:v>626</x:v>
      </x:c>
      <x:c r="F17" s="51" t="s">
        <x:v>632</x:v>
      </x:c>
      <x:c r="G17" s="51">
        <x:v>15</x:v>
      </x:c>
      <x:c r="H17" s="51" t="s">
        <x:v>628</x:v>
      </x:c>
    </x:row>
    <x:row r="18" ht="15" customHeight="1">
      <x:c r="A18" s="51">
        <x:v>4</x:v>
      </x:c>
      <x:c r="B18" s="51" t="s">
        <x:v>20</x:v>
      </x:c>
      <x:c r="C18" s="51" t="s">
        <x:v>624</x:v>
      </x:c>
      <x:c r="D18" s="51" t="s">
        <x:v>631</x:v>
      </x:c>
      <x:c r="E18" s="51" t="s">
        <x:v>629</x:v>
      </x:c>
      <x:c r="F18" s="51" t="s">
        <x:v>633</x:v>
      </x:c>
      <x:c r="G18" s="51">
        <x:v>16</x:v>
      </x:c>
      <x:c r="H18" s="51" t="s">
        <x:v>628</x:v>
      </x:c>
    </x:row>
    <x:row r="19" ht="15" customHeight="1">
      <x:c r="A19" s="51">
        <x:v>5</x:v>
      </x:c>
      <x:c r="B19" s="51" t="s">
        <x:v>20</x:v>
      </x:c>
      <x:c r="C19" s="51" t="s">
        <x:v>634</x:v>
      </x:c>
      <x:c r="D19" s="51" t="s">
        <x:v>625</x:v>
      </x:c>
      <x:c r="E19" s="51" t="s">
        <x:v>626</x:v>
      </x:c>
      <x:c r="F19" s="51" t="s">
        <x:v>635</x:v>
      </x:c>
      <x:c r="G19" s="51">
        <x:v>17</x:v>
      </x:c>
      <x:c r="H19" s="51" t="s">
        <x:v>628</x:v>
      </x:c>
    </x:row>
    <x:row r="20" ht="15" customHeight="1">
      <x:c r="A20" s="51">
        <x:v>6</x:v>
      </x:c>
      <x:c r="B20" s="51" t="s">
        <x:v>20</x:v>
      </x:c>
      <x:c r="C20" s="51" t="s">
        <x:v>634</x:v>
      </x:c>
      <x:c r="D20" s="51" t="s">
        <x:v>625</x:v>
      </x:c>
      <x:c r="E20" s="51" t="s">
        <x:v>629</x:v>
      </x:c>
      <x:c r="F20" s="51" t="s">
        <x:v>636</x:v>
      </x:c>
      <x:c r="G20" s="51">
        <x:v>18</x:v>
      </x:c>
      <x:c r="H20" s="51" t="s">
        <x:v>628</x:v>
      </x:c>
    </x:row>
    <x:row r="21" ht="15" customHeight="1">
      <x:c r="A21" s="51">
        <x:v>7</x:v>
      </x:c>
      <x:c r="B21" s="51" t="s">
        <x:v>20</x:v>
      </x:c>
      <x:c r="C21" s="51" t="s">
        <x:v>634</x:v>
      </x:c>
      <x:c r="D21" s="51" t="s">
        <x:v>631</x:v>
      </x:c>
      <x:c r="E21" s="51" t="s">
        <x:v>626</x:v>
      </x:c>
      <x:c r="F21" s="51" t="s">
        <x:v>630</x:v>
      </x:c>
      <x:c r="G21" s="51">
        <x:v>19</x:v>
      </x:c>
      <x:c r="H21" s="51" t="s">
        <x:v>628</x:v>
      </x:c>
    </x:row>
    <x:row r="22" ht="15" customHeight="1">
      <x:c r="A22" s="51">
        <x:v>8</x:v>
      </x:c>
      <x:c r="B22" s="51" t="s">
        <x:v>20</x:v>
      </x:c>
      <x:c r="C22" s="51" t="s">
        <x:v>634</x:v>
      </x:c>
      <x:c r="D22" s="51" t="s">
        <x:v>631</x:v>
      </x:c>
      <x:c r="E22" s="51" t="s">
        <x:v>629</x:v>
      </x:c>
      <x:c r="F22" s="51" t="s">
        <x:v>627</x:v>
      </x:c>
      <x:c r="G22" s="51">
        <x:v>20</x:v>
      </x:c>
      <x:c r="H22" s="51" t="s">
        <x:v>628</x:v>
      </x:c>
    </x:row>
    <x:row r="23" ht="15" customHeight="1">
      <x:c r="A23" s="51">
        <x:v>9</x:v>
      </x:c>
      <x:c r="B23" s="51" t="s">
        <x:v>637</x:v>
      </x:c>
      <x:c r="C23" s="51" t="s">
        <x:v>638</x:v>
      </x:c>
      <x:c r="D23" s="51" t="s">
        <x:v>625</x:v>
      </x:c>
      <x:c r="E23" s="51" t="s">
        <x:v>626</x:v>
      </x:c>
      <x:c r="F23" s="51" t="s">
        <x:v>633</x:v>
      </x:c>
      <x:c r="G23" s="51">
        <x:v>21</x:v>
      </x:c>
      <x:c r="H23" s="51" t="s">
        <x:v>628</x:v>
      </x:c>
    </x:row>
    <x:row r="24" ht="15" customHeight="1">
      <x:c r="A24" s="51">
        <x:v>10</x:v>
      </x:c>
      <x:c r="B24" s="51" t="s">
        <x:v>637</x:v>
      </x:c>
      <x:c r="C24" s="51" t="s">
        <x:v>638</x:v>
      </x:c>
      <x:c r="D24" s="51" t="s">
        <x:v>625</x:v>
      </x:c>
      <x:c r="E24" s="51" t="s">
        <x:v>629</x:v>
      </x:c>
      <x:c r="F24" s="51" t="s">
        <x:v>632</x:v>
      </x:c>
      <x:c r="G24" s="51">
        <x:v>22</x:v>
      </x:c>
      <x:c r="H24" s="51" t="s">
        <x:v>628</x:v>
      </x:c>
    </x:row>
    <x:row r="25" ht="15" customHeight="1">
      <x:c r="A25" s="51">
        <x:v>11</x:v>
      </x:c>
      <x:c r="B25" s="51" t="s">
        <x:v>637</x:v>
      </x:c>
      <x:c r="C25" s="51" t="s">
        <x:v>638</x:v>
      </x:c>
      <x:c r="D25" s="51" t="s">
        <x:v>631</x:v>
      </x:c>
      <x:c r="E25" s="51" t="s">
        <x:v>626</x:v>
      </x:c>
      <x:c r="F25" s="51" t="s">
        <x:v>636</x:v>
      </x:c>
      <x:c r="G25" s="51">
        <x:v>23</x:v>
      </x:c>
      <x:c r="H25" s="51" t="s">
        <x:v>628</x:v>
      </x:c>
    </x:row>
    <x:row r="26" ht="15" customHeight="1">
      <x:c r="A26" s="51">
        <x:v>12</x:v>
      </x:c>
      <x:c r="B26" s="51" t="s">
        <x:v>637</x:v>
      </x:c>
      <x:c r="C26" s="51" t="s">
        <x:v>638</x:v>
      </x:c>
      <x:c r="D26" s="51" t="s">
        <x:v>631</x:v>
      </x:c>
      <x:c r="E26" s="51" t="s">
        <x:v>629</x:v>
      </x:c>
      <x:c r="F26" s="51" t="s">
        <x:v>635</x:v>
      </x:c>
      <x:c r="G26" s="51">
        <x:v>24</x:v>
      </x:c>
      <x:c r="H26" s="51" t="s">
        <x:v>628</x:v>
      </x:c>
    </x:row>
    <x:row r="27" ht="15" customHeight="1">
      <x:c r="A27" s="51">
        <x:v>13</x:v>
      </x:c>
      <x:c r="B27" s="51" t="s">
        <x:v>20</x:v>
      </x:c>
      <x:c r="C27" s="51" t="s">
        <x:v>624</x:v>
      </x:c>
      <x:c r="D27" s="51" t="s">
        <x:v>625</x:v>
      </x:c>
      <x:c r="E27" s="51" t="s">
        <x:v>626</x:v>
      </x:c>
      <x:c r="F27" s="51" t="s">
        <x:v>630</x:v>
      </x:c>
      <x:c r="G27" s="51">
        <x:v>1</x:v>
      </x:c>
      <x:c r="H27" s="51" t="s">
        <x:v>639</x:v>
      </x:c>
    </x:row>
    <x:row r="28" ht="15" customHeight="1">
      <x:c r="A28" s="51">
        <x:v>14</x:v>
      </x:c>
      <x:c r="B28" s="51" t="s">
        <x:v>20</x:v>
      </x:c>
      <x:c r="C28" s="51" t="s">
        <x:v>624</x:v>
      </x:c>
      <x:c r="D28" s="51" t="s">
        <x:v>625</x:v>
      </x:c>
      <x:c r="E28" s="51" t="s">
        <x:v>629</x:v>
      </x:c>
      <x:c r="F28" s="51" t="s">
        <x:v>627</x:v>
      </x:c>
      <x:c r="G28" s="51">
        <x:v>2</x:v>
      </x:c>
      <x:c r="H28" s="51" t="s">
        <x:v>639</x:v>
      </x:c>
    </x:row>
    <x:row r="29" ht="15" customHeight="1">
      <x:c r="A29" s="51">
        <x:v>15</x:v>
      </x:c>
      <x:c r="B29" s="51" t="s">
        <x:v>20</x:v>
      </x:c>
      <x:c r="C29" s="51" t="s">
        <x:v>624</x:v>
      </x:c>
      <x:c r="D29" s="51" t="s">
        <x:v>631</x:v>
      </x:c>
      <x:c r="E29" s="51" t="s">
        <x:v>626</x:v>
      </x:c>
      <x:c r="F29" s="51" t="s">
        <x:v>633</x:v>
      </x:c>
      <x:c r="G29" s="51">
        <x:v>3</x:v>
      </x:c>
      <x:c r="H29" s="51" t="s">
        <x:v>639</x:v>
      </x:c>
    </x:row>
    <x:row r="30" ht="15" customHeight="1">
      <x:c r="A30" s="51">
        <x:v>16</x:v>
      </x:c>
      <x:c r="B30" s="51" t="s">
        <x:v>20</x:v>
      </x:c>
      <x:c r="C30" s="51" t="s">
        <x:v>624</x:v>
      </x:c>
      <x:c r="D30" s="51" t="s">
        <x:v>631</x:v>
      </x:c>
      <x:c r="E30" s="51" t="s">
        <x:v>629</x:v>
      </x:c>
      <x:c r="F30" s="51" t="s">
        <x:v>632</x:v>
      </x:c>
      <x:c r="G30" s="51">
        <x:v>4</x:v>
      </x:c>
      <x:c r="H30" s="51" t="s">
        <x:v>639</x:v>
      </x:c>
    </x:row>
    <x:row r="31" ht="15" customHeight="1">
      <x:c r="A31" s="51">
        <x:v>17</x:v>
      </x:c>
      <x:c r="B31" s="51" t="s">
        <x:v>20</x:v>
      </x:c>
      <x:c r="C31" s="51" t="s">
        <x:v>634</x:v>
      </x:c>
      <x:c r="D31" s="51" t="s">
        <x:v>625</x:v>
      </x:c>
      <x:c r="E31" s="51" t="s">
        <x:v>626</x:v>
      </x:c>
      <x:c r="F31" s="51" t="s">
        <x:v>636</x:v>
      </x:c>
      <x:c r="G31" s="51">
        <x:v>5</x:v>
      </x:c>
      <x:c r="H31" s="51" t="s">
        <x:v>639</x:v>
      </x:c>
    </x:row>
    <x:row r="32" ht="15" customHeight="1">
      <x:c r="A32" s="51">
        <x:v>18</x:v>
      </x:c>
      <x:c r="B32" s="51" t="s">
        <x:v>20</x:v>
      </x:c>
      <x:c r="C32" s="51" t="s">
        <x:v>634</x:v>
      </x:c>
      <x:c r="D32" s="51" t="s">
        <x:v>625</x:v>
      </x:c>
      <x:c r="E32" s="51" t="s">
        <x:v>629</x:v>
      </x:c>
      <x:c r="F32" s="51" t="s">
        <x:v>635</x:v>
      </x:c>
      <x:c r="G32" s="51">
        <x:v>6</x:v>
      </x:c>
      <x:c r="H32" s="51" t="s">
        <x:v>639</x:v>
      </x:c>
    </x:row>
    <x:row r="33" ht="15" customHeight="1">
      <x:c r="A33" s="51">
        <x:v>19</x:v>
      </x:c>
      <x:c r="B33" s="51" t="s">
        <x:v>20</x:v>
      </x:c>
      <x:c r="C33" s="51" t="s">
        <x:v>634</x:v>
      </x:c>
      <x:c r="D33" s="51" t="s">
        <x:v>631</x:v>
      </x:c>
      <x:c r="E33" s="51" t="s">
        <x:v>626</x:v>
      </x:c>
      <x:c r="F33" s="51" t="s">
        <x:v>627</x:v>
      </x:c>
      <x:c r="G33" s="51">
        <x:v>7</x:v>
      </x:c>
      <x:c r="H33" s="51" t="s">
        <x:v>639</x:v>
      </x:c>
    </x:row>
    <x:row r="34" ht="15" customHeight="1">
      <x:c r="A34" s="51">
        <x:v>20</x:v>
      </x:c>
      <x:c r="B34" s="51" t="s">
        <x:v>20</x:v>
      </x:c>
      <x:c r="C34" s="51" t="s">
        <x:v>634</x:v>
      </x:c>
      <x:c r="D34" s="51" t="s">
        <x:v>631</x:v>
      </x:c>
      <x:c r="E34" s="51" t="s">
        <x:v>629</x:v>
      </x:c>
      <x:c r="F34" s="51" t="s">
        <x:v>630</x:v>
      </x:c>
      <x:c r="G34" s="51">
        <x:v>8</x:v>
      </x:c>
      <x:c r="H34" s="51" t="s">
        <x:v>639</x:v>
      </x:c>
    </x:row>
    <x:row r="35" ht="15" customHeight="1">
      <x:c r="A35" s="51">
        <x:v>21</x:v>
      </x:c>
      <x:c r="B35" s="51" t="s">
        <x:v>637</x:v>
      </x:c>
      <x:c r="C35" s="51" t="s">
        <x:v>638</x:v>
      </x:c>
      <x:c r="D35" s="51" t="s">
        <x:v>625</x:v>
      </x:c>
      <x:c r="E35" s="51" t="s">
        <x:v>626</x:v>
      </x:c>
      <x:c r="F35" s="51" t="s">
        <x:v>632</x:v>
      </x:c>
      <x:c r="G35" s="51">
        <x:v>9</x:v>
      </x:c>
      <x:c r="H35" s="51" t="s">
        <x:v>639</x:v>
      </x:c>
    </x:row>
    <x:row r="36" ht="15" customHeight="1">
      <x:c r="A36" s="51">
        <x:v>22</x:v>
      </x:c>
      <x:c r="B36" s="51" t="s">
        <x:v>637</x:v>
      </x:c>
      <x:c r="C36" s="51" t="s">
        <x:v>638</x:v>
      </x:c>
      <x:c r="D36" s="51" t="s">
        <x:v>625</x:v>
      </x:c>
      <x:c r="E36" s="51" t="s">
        <x:v>629</x:v>
      </x:c>
      <x:c r="F36" s="51" t="s">
        <x:v>633</x:v>
      </x:c>
      <x:c r="G36" s="51">
        <x:v>10</x:v>
      </x:c>
      <x:c r="H36" s="51" t="s">
        <x:v>639</x:v>
      </x:c>
    </x:row>
    <x:row r="37" ht="15" customHeight="1">
      <x:c r="A37" s="51">
        <x:v>23</x:v>
      </x:c>
      <x:c r="B37" s="51" t="s">
        <x:v>637</x:v>
      </x:c>
      <x:c r="C37" s="51" t="s">
        <x:v>638</x:v>
      </x:c>
      <x:c r="D37" s="51" t="s">
        <x:v>631</x:v>
      </x:c>
      <x:c r="E37" s="51" t="s">
        <x:v>626</x:v>
      </x:c>
      <x:c r="F37" s="51" t="s">
        <x:v>635</x:v>
      </x:c>
      <x:c r="G37" s="51">
        <x:v>11</x:v>
      </x:c>
      <x:c r="H37" s="51" t="s">
        <x:v>639</x:v>
      </x:c>
    </x:row>
    <x:row r="38" ht="15" customHeight="1">
      <x:c r="A38" s="51">
        <x:v>24</x:v>
      </x:c>
      <x:c r="B38" s="51" t="s">
        <x:v>637</x:v>
      </x:c>
      <x:c r="C38" s="51" t="s">
        <x:v>638</x:v>
      </x:c>
      <x:c r="D38" s="51" t="s">
        <x:v>631</x:v>
      </x:c>
      <x:c r="E38" s="51" t="s">
        <x:v>629</x:v>
      </x:c>
      <x:c r="F38" s="51" t="s">
        <x:v>636</x:v>
      </x:c>
      <x:c r="G38" s="51">
        <x:v>12</x:v>
      </x:c>
      <x:c r="H38" s="51" t="s">
        <x:v>639</x:v>
      </x:c>
    </x:row>
  </x:sheetData>
  <x:mergeCells>
    <x:mergeCell ref="A1:H1"/>
    <x:mergeCell ref="A2:H2"/>
    <x:mergeCell ref="B4:H4"/>
    <x:mergeCell ref="B5:H5"/>
    <x:mergeCell ref="B6:H6"/>
    <x:mergeCell ref="B12:H12"/>
    <x:mergeCell ref="B7:H7"/>
    <x:mergeCell ref="B8:H8"/>
    <x:mergeCell ref="B9:H9"/>
    <x:mergeCell ref="B10:H10"/>
    <x:mergeCell ref="B11:H1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1" customWidth="1"/>
    <x:col min="2" max="2" width="23" customWidth="1"/>
    <x:col min="3" max="3" width="27" customWidth="1"/>
    <x:col min="4" max="4" width="13" customWidth="1"/>
    <x:col min="5" max="5" width="18" customWidth="1"/>
    <x:col min="6" max="9" width="10" customWidth="1"/>
    <x:col min="10" max="10" width="6.889999866485596" hidden="0" customWidth="1"/>
    <x:col min="11" max="11" width="68.88999938964844" hidden="0" customWidth="1"/>
    <x:col min="12" max="12" width="15" hidden="0" customWidth="1"/>
    <x:col min="13" max="13" width="19" customWidth="1"/>
    <x:col min="14" max="14" width="46" customWidth="1"/>
    <x:col min="15" max="15" width="27" customWidth="1"/>
    <x:col min="16" max="17" width="3" customWidth="1"/>
    <x:col min="6" max="6" width="6.889999866485596" hidden="0" customWidth="1"/>
    <x:col min="7" max="7" width="6.889999866485596" hidden="0" customWidth="1"/>
    <x:col min="8" max="8" width="6.889999866485596" hidden="0" customWidth="1"/>
    <x:col min="9" max="9" width="6.889999866485596" hidden="0" customWidth="1"/>
  </x:cols>
  <x:sheetData>
    <x:row r="1" ht="24" customHeight="1">
      <x:c r="A1" s="65" t="str">
        <x:v>Steward's Ledger — Five-Player Production Reference</x:v>
      </x:c>
      <x:c r="B1" s="65"/>
      <x:c r="C1" s="65"/>
      <x:c r="D1" s="65"/>
      <x:c r="E1" s="65"/>
      <x:c r="F1" s="65"/>
      <x:c r="G1" s="65"/>
      <x:c r="H1" s="65"/>
      <x:c r="I1" s="65"/>
      <x:c r="J1" s="65"/>
      <x:c r="K1" s="65"/>
      <x:c r="L1" s="65"/>
      <x:c r="M1" s="65"/>
      <x:c r="N1" s="65"/>
      <x:c r="O1" s="65"/>
      <x:c r="P1" s="65"/>
      <x:c r="Q1" s="65"/>
    </x:row>
    <x:row r="2" ht="24" customHeight="1">
      <x:c r="A2" s="66" t="str">
        <x:v>Canonical entry wording, 1–5 player targets, box structure, and Golden unlock thresholds. Values are synchronized with src/data/ledger.ts.</x:v>
      </x:c>
      <x:c r="B2" s="66"/>
      <x:c r="C2" s="66"/>
      <x:c r="D2" s="66"/>
      <x:c r="E2" s="66"/>
      <x:c r="F2" s="66"/>
      <x:c r="G2" s="66"/>
      <x:c r="H2" s="66"/>
      <x:c r="I2" s="66"/>
      <x:c r="J2" s="66"/>
      <x:c r="K2" s="66"/>
      <x:c r="L2" s="66"/>
      <x:c r="M2" s="66"/>
      <x:c r="N2" s="66"/>
      <x:c r="O2" s="66"/>
      <x:c r="P2" s="66"/>
      <x:c r="Q2" s="66"/>
    </x:row>
    <x:row r="4" ht="15" customHeight="1">
      <x:c r="A4" s="6" t="str">
        <x:v>Entry ID</x:v>
      </x:c>
      <x:c r="B4" s="7" t="str">
        <x:v>Chronicle</x:v>
      </x:c>
      <x:c r="C4" s="7" t="str">
        <x:v>Ledger Entry</x:v>
      </x:c>
      <x:c r="D4" s="7" t="str">
        <x:v>Type</x:v>
      </x:c>
      <x:c r="E4" s="7" t="str">
        <x:v>Scope</x:v>
      </x:c>
      <x:c r="F4" s="7" t="str">
        <x:v>1p Target</x:v>
      </x:c>
      <x:c r="G4" s="7" t="str">
        <x:v>2p Target</x:v>
      </x:c>
      <x:c r="H4" s="7" t="str">
        <x:v>3p Target</x:v>
      </x:c>
      <x:c r="I4" s="7" t="str">
        <x:v>4p Target</x:v>
      </x:c>
      <x:c r="J4" s="7" t="str">
        <x:v>5p Target</x:v>
      </x:c>
      <x:c r="K4" s="8" t="str">
        <x:v>Requirement Text</x:v>
      </x:c>
      <x:c r="L4" s="41" t="str">
        <x:v>Boxes</x:v>
      </x:c>
      <x:c r="M4" s="6" t="s">
        <x:v>640</x:v>
      </x:c>
      <x:c r="N4" s="8" t="s">
        <x:v>641</x:v>
      </x:c>
      <x:c r="O4" s="41"/>
      <x:c r="P4" s="41"/>
      <x:c r="Q4" s="41"/>
    </x:row>
    <x:row r="5" ht="26.399999618530273" hidden="0" customHeight="1">
      <x:c r="A5" s="9" t="str">
        <x:v>LE-001</x:v>
      </x:c>
      <x:c r="B5" s="10" t="str">
        <x:v>Settlement Records</x:v>
      </x:c>
      <x:c r="C5" s="10" t="str">
        <x:v>The Vale Endures</x:v>
      </x:c>
      <x:c r="D5" s="10" t="str">
        <x:v>Record</x:v>
      </x:c>
      <x:c r="E5" s="10" t="str">
        <x:v>By player count</x:v>
      </x:c>
      <x:c r="F5" s="10" t="n">
        <x:v>140</x:v>
      </x:c>
      <x:c r="G5" s="10" t="n">
        <x:v>200</x:v>
      </x:c>
      <x:c r="H5" s="10" t="n">
        <x:v>280</x:v>
      </x:c>
      <x:c r="I5" s="10" t="n">
        <x:v>320</x:v>
      </x:c>
      <x:c r="J5" s="10" t="n">
        <x:v>380</x:v>
      </x:c>
      <x:c r="K5" s="11" t="str">
        <x:v>Record a final score at or above the threshold for that player count: 140 / 200 / 280 / 320 / 380 in 1p / 2p / 3p / 4p / 5p. Available after 6 named Ledger Entries have been completed.</x:v>
      </x:c>
      <x:c r="L5" s="178" t="str">
        <x:v>1p / 2p / 3p / 4p / 5p</x:v>
      </x:c>
      <x:c r="M5" s="17" t="s">
        <x:v>642</x:v>
      </x:c>
      <x:c r="N5" s="18" t="str">
        <x:v>Persistent achievement record across games. Not part of final scoring.</x:v>
      </x:c>
      <x:c r="O5" s="41"/>
      <x:c r="P5" s="41"/>
      <x:c r="Q5" s="41"/>
    </x:row>
    <x:row r="6" ht="26.399999618530273" hidden="0" customHeight="1">
      <x:c r="A6" s="12" t="str">
        <x:v>LE-002</x:v>
      </x:c>
      <x:c r="B6" s="179" t="str">
        <x:v>Settlement Records</x:v>
      </x:c>
      <x:c r="C6" s="179" t="str">
        <x:v>Hearths Drawn Together</x:v>
      </x:c>
      <x:c r="D6" s="179" t="str">
        <x:v>Record</x:v>
      </x:c>
      <x:c r="E6" s="179" t="str">
        <x:v>By player count</x:v>
      </x:c>
      <x:c r="F6" s="179" t="n">
        <x:v>90</x:v>
      </x:c>
      <x:c r="G6" s="179" t="n">
        <x:v>115</x:v>
      </x:c>
      <x:c r="H6" s="179" t="n">
        <x:v>160</x:v>
      </x:c>
      <x:c r="I6" s="179" t="n">
        <x:v>150</x:v>
      </x:c>
      <x:c r="J6" s="179" t="n">
        <x:v>190</x:v>
      </x:c>
      <x:c r="K6" s="13" t="str">
        <x:v>Record final Population at or above the threshold for that player count. Available after 7 named Ledger Entries have been completed.</x:v>
      </x:c>
      <x:c r="L6" s="178" t="str">
        <x:v>1p / 2p / 3p / 4p / 5p</x:v>
      </x:c>
      <x:c r="M6" s="19" t="s">
        <x:v>643</x:v>
      </x:c>
      <x:c r="N6" s="20" t="s">
        <x:v>644</x:v>
      </x:c>
      <x:c r="O6" s="41"/>
      <x:c r="P6" s="41"/>
      <x:c r="Q6" s="41"/>
    </x:row>
    <x:row r="7" ht="26.399999618530273" hidden="0" customHeight="1">
      <x:c r="A7" s="12" t="str">
        <x:v>LE-003</x:v>
      </x:c>
      <x:c r="B7" s="179" t="str">
        <x:v>Settlement Records</x:v>
      </x:c>
      <x:c r="C7" s="179" t="str">
        <x:v>Remembered Across the Vale</x:v>
      </x:c>
      <x:c r="D7" s="179" t="str">
        <x:v>Record</x:v>
      </x:c>
      <x:c r="E7" s="179" t="str">
        <x:v>By player count</x:v>
      </x:c>
      <x:c r="F7" s="179" t="n">
        <x:v>25</x:v>
      </x:c>
      <x:c r="G7" s="179" t="n">
        <x:v>40</x:v>
      </x:c>
      <x:c r="H7" s="179" t="n">
        <x:v>60</x:v>
      </x:c>
      <x:c r="I7" s="179" t="n">
        <x:v>90</x:v>
      </x:c>
      <x:c r="J7" s="179" t="n">
        <x:v>120</x:v>
      </x:c>
      <x:c r="K7" s="13" t="str">
        <x:v>Record final Renown at or above the threshold for that player count. Available after 8 named Ledger Entries have been completed.</x:v>
      </x:c>
      <x:c r="L7" s="178" t="str">
        <x:v>1p / 2p / 3p / 4p / 5p</x:v>
      </x:c>
      <x:c r="M7" s="19" t="s">
        <x:v>645</x:v>
      </x:c>
      <x:c r="N7" s="20" t="str">
        <x:v>Additional 1–5 player-count boxes are prestige records only.</x:v>
      </x:c>
      <x:c r="O7" s="41"/>
      <x:c r="P7" s="41"/>
      <x:c r="Q7" s="41"/>
    </x:row>
    <x:row r="8" ht="26.399999618530273" hidden="0" customHeight="1">
      <x:c r="A8" s="12" t="str">
        <x:v>LE-004</x:v>
      </x:c>
      <x:c r="B8" s="179" t="str">
        <x:v>Settlement Records</x:v>
      </x:c>
      <x:c r="C8" s="179" t="str">
        <x:v>No Ash in the Record</x:v>
      </x:c>
      <x:c r="D8" s="179" t="str">
        <x:v>Resilience</x:v>
      </x:c>
      <x:c r="E8" s="179" t="str">
        <x:v>By player count</x:v>
      </x:c>
      <x:c r="F8" s="179" t="n">
        <x:v>2</x:v>
      </x:c>
      <x:c r="G8" s="179" t="n">
        <x:v>6</x:v>
      </x:c>
      <x:c r="H8" s="179" t="n">
        <x:v>10</x:v>
      </x:c>
      <x:c r="I8" s="179" t="n">
        <x:v>14</x:v>
      </x:c>
      <x:c r="J8" s="179" t="n">
        <x:v>18</x:v>
      </x:c>
      <x:c r="K8" s="13" t="str">
        <x:v>End with 0 active Burdens, 0 Overstrained tiles, and no more than 2 / 6 / 10 / 14 / 18 Strain in 1p / 2p / 3p / 4p / 5p. Available after 22 named Ledger Entries have been completed.</x:v>
      </x:c>
      <x:c r="L8" s="178" t="str">
        <x:v>1p / 2p / 3p / 4p / 5p</x:v>
      </x:c>
      <x:c r="M8" s="19" t="s">
        <x:v>646</x:v>
      </x:c>
      <x:c r="N8" s="20" t="s">
        <x:v>647</x:v>
      </x:c>
      <x:c r="O8" s="41"/>
      <x:c r="P8" s="41"/>
      <x:c r="Q8" s="41"/>
    </x:row>
    <x:row r="9" ht="26.399999618530273" hidden="0" customHeight="1">
      <x:c r="A9" s="12" t="str">
        <x:v>LE-005</x:v>
      </x:c>
      <x:c r="B9" s="179" t="str">
        <x:v>Shape of the Settlement</x:v>
      </x:c>
      <x:c r="C9" s="179" t="str">
        <x:v>Three Corners of the Vale</x:v>
      </x:c>
      <x:c r="D9" s="179" t="str">
        <x:v>Map Edge</x:v>
      </x:c>
      <x:c r="E9" s="179" t="str">
        <x:v>Once</x:v>
      </x:c>
      <x:c r="F9" s="179"/>
      <x:c r="G9" s="179"/>
      <x:c r="H9" s="179"/>
      <x:c r="I9" s="179"/>
      <x:c r="J9" s="179"/>
      <x:c r="K9" s="13" t="str">
        <x:v>End with non-Overstrained placed tiles covering at least three of the four corner hexes: A1, A9, N1, and N9.</x:v>
      </x:c>
      <x:c r="L9" s="178" t="str">
        <x:v>Once</x:v>
      </x:c>
      <x:c r="M9" s="21" t="s">
        <x:v>648</x:v>
      </x:c>
      <x:c r="N9" s="22" t="s">
        <x:v>649</x:v>
      </x:c>
      <x:c r="O9" s="41"/>
      <x:c r="P9" s="41"/>
      <x:c r="Q9" s="41"/>
    </x:row>
    <x:row r="10" ht="39.599998474121094" hidden="0" customHeight="1">
      <x:c r="A10" s="12" t="str">
        <x:v>LE-006</x:v>
      </x:c>
      <x:c r="B10" s="179" t="str">
        <x:v>Shape of the Settlement</x:v>
      </x:c>
      <x:c r="C10" s="179" t="str">
        <x:v>Lanterns on the Boundary</x:v>
      </x:c>
      <x:c r="D10" s="179" t="str">
        <x:v>Map Edge</x:v>
      </x:c>
      <x:c r="E10" s="179" t="str">
        <x:v>By player count</x:v>
      </x:c>
      <x:c r="F10" s="179" t="n">
        <x:v>8</x:v>
      </x:c>
      <x:c r="G10" s="179" t="n">
        <x:v>14</x:v>
      </x:c>
      <x:c r="H10" s="179" t="n">
        <x:v>20</x:v>
      </x:c>
      <x:c r="I10" s="179" t="n">
        <x:v>26</x:v>
      </x:c>
      <x:c r="J10" s="179" t="n">
        <x:v>32</x:v>
      </x:c>
      <x:c r="K10" s="13" t="str">
        <x:v>End with at least 8 / 14 / 20 / 26 / 32 non-River/Water edge hexes covered by non-Overstrained placed tiles in 1p / 2p / 3p / 4p / 5p. Available after 10 named Ledger Entries have been completed.</x:v>
      </x:c>
      <x:c r="L10" s="178" t="str">
        <x:v>1p / 2p / 3p / 4p / 5p</x:v>
      </x:c>
      <x:c r="M10" s="41"/>
      <x:c r="N10" s="41"/>
      <x:c r="O10" s="41"/>
      <x:c r="P10" s="41"/>
      <x:c r="Q10" s="41"/>
    </x:row>
    <x:row r="11" ht="26.399999618530273" hidden="0" customHeight="1">
      <x:c r="A11" s="12" t="str">
        <x:v>LE-007</x:v>
      </x:c>
      <x:c r="B11" s="179" t="str">
        <x:v>Shape of the Settlement</x:v>
      </x:c>
      <x:c r="C11" s="179" t="str">
        <x:v>Six Lands Remembered</x:v>
      </x:c>
      <x:c r="D11" s="179" t="str">
        <x:v>Terrain</x:v>
      </x:c>
      <x:c r="E11" s="179" t="str">
        <x:v>Once</x:v>
      </x:c>
      <x:c r="F11" s="179"/>
      <x:c r="G11" s="179"/>
      <x:c r="H11" s="179"/>
      <x:c r="I11" s="179"/>
      <x:c r="J11" s="179"/>
      <x:c r="K11" s="13" t="str">
        <x:v>End with at least one non-Overstrained placed tile on each non-Water terrain type: Grasslands, Woodland, Mountains, Heaths, Arable Land, and Ruins.</x:v>
      </x:c>
      <x:c r="L11" s="178" t="str">
        <x:v>Once</x:v>
      </x:c>
      <x:c r="M11" s="41"/>
      <x:c r="N11" s="41"/>
      <x:c r="O11" s="41"/>
      <x:c r="P11" s="41"/>
      <x:c r="Q11" s="41"/>
    </x:row>
    <x:row r="12" ht="39.599998474121094" hidden="0" customHeight="1">
      <x:c r="A12" s="12" t="str">
        <x:v>LE-008</x:v>
      </x:c>
      <x:c r="B12" s="179" t="str">
        <x:v>Shape of the Settlement</x:v>
      </x:c>
      <x:c r="C12" s="179" t="str">
        <x:v>Garden Community</x:v>
      </x:c>
      <x:c r="D12" s="179" t="str">
        <x:v>Layout</x:v>
      </x:c>
      <x:c r="E12" s="179" t="str">
        <x:v>Once</x:v>
      </x:c>
      <x:c r="F12" s="179"/>
      <x:c r="G12" s="179"/>
      <x:c r="H12" s="179"/>
      <x:c r="I12" s="179"/>
      <x:c r="J12" s="179"/>
      <x:c r="K12" s="13" t="str">
        <x:v>End with Common Land or The Pleasance non-Overstrained and adjacent to six non-Overstrained Housing Tiles. The six Housing Tiles must occupy six distinct neighbouring hexes around that tile. Available after 16 named Ledger Entries have been completed.</x:v>
      </x:c>
      <x:c r="L12" s="178" t="str">
        <x:v>Once</x:v>
      </x:c>
      <x:c r="M12" s="6" t="str">
        <x:v>Completed Entries</x:v>
      </x:c>
      <x:c r="N12" s="7" t="str">
        <x:v>Golden Tile</x:v>
      </x:c>
      <x:c r="O12" s="8" t="str">
        <x:v>Golden Boon</x:v>
      </x:c>
      <x:c r="P12" s="41"/>
      <x:c r="Q12" s="41"/>
    </x:row>
    <x:row r="13" ht="39.599998474121094" hidden="0" customHeight="1">
      <x:c r="A13" s="12" t="str">
        <x:v>LE-009</x:v>
      </x:c>
      <x:c r="B13" s="179" t="str">
        <x:v>Shape of the Settlement</x:v>
      </x:c>
      <x:c r="C13" s="179" t="str">
        <x:v>Shelter and Song</x:v>
      </x:c>
      <x:c r="D13" s="179" t="str">
        <x:v>Layout</x:v>
      </x:c>
      <x:c r="E13" s="179" t="str">
        <x:v>Once</x:v>
      </x:c>
      <x:c r="F13" s="179"/>
      <x:c r="G13" s="179"/>
      <x:c r="H13" s="179"/>
      <x:c r="I13" s="179"/>
      <x:c r="J13" s="179"/>
      <x:c r="K13" s="13" t="str">
        <x:v>End with a connected Housing cluster of at least four non-Overstrained Housing Tiles adjacent to both a Social Tile and a Wellbeing Tile. Available after 5 named Ledger Entries have been completed.</x:v>
      </x:c>
      <x:c r="L13" s="178" t="str">
        <x:v>Once</x:v>
      </x:c>
      <x:c r="M13" s="9" t="n">
        <x:v>5</x:v>
      </x:c>
      <x:c r="N13" s="10" t="str">
        <x:v>The Golden Charter</x:v>
      </x:c>
      <x:c r="O13" s="11" t="str">
        <x:v>The Golden Bell</x:v>
      </x:c>
      <x:c r="P13" s="41"/>
      <x:c r="Q13" s="41"/>
    </x:row>
    <x:row r="14" ht="39.599998474121094" hidden="0" customHeight="1">
      <x:c r="A14" s="12" t="str">
        <x:v>LE-010</x:v>
      </x:c>
      <x:c r="B14" s="179" t="str">
        <x:v>Shape of the Settlement</x:v>
      </x:c>
      <x:c r="C14" s="179" t="str">
        <x:v>The Care Ring</x:v>
      </x:c>
      <x:c r="D14" s="179" t="str">
        <x:v>Layout</x:v>
      </x:c>
      <x:c r="E14" s="179" t="str">
        <x:v>Once</x:v>
      </x:c>
      <x:c r="F14" s="179"/>
      <x:c r="G14" s="179"/>
      <x:c r="H14" s="179"/>
      <x:c r="I14" s="179"/>
      <x:c r="J14" s="179"/>
      <x:c r="K14" s="13" t="str">
        <x:v>End with a non-Overstrained Wellbeing Tile surrounded by six non-Overstrained placed tiles, at least four of which are Housing, Social, or Wellbeing Tiles. Available after 9 named Ledger Entries have been completed.</x:v>
      </x:c>
      <x:c r="L14" s="178" t="str">
        <x:v>Once</x:v>
      </x:c>
      <x:c r="M14" s="12" t="n">
        <x:v>12</x:v>
      </x:c>
      <x:c r="N14" s="52" t="str">
        <x:v>The Golden Hearth</x:v>
      </x:c>
      <x:c r="O14" s="13" t="str">
        <x:v>The Golden Scroll</x:v>
      </x:c>
      <x:c r="P14" s="41"/>
      <x:c r="Q14" s="41"/>
    </x:row>
    <x:row r="15" ht="26.399999618530273" hidden="0" customHeight="1">
      <x:c r="A15" s="12" t="str">
        <x:v>LE-011</x:v>
      </x:c>
      <x:c r="B15" s="179" t="str">
        <x:v>Shape of the Settlement</x:v>
      </x:c>
      <x:c r="C15" s="179" t="str">
        <x:v>No Hearth Stands Alone</x:v>
      </x:c>
      <x:c r="D15" s="179" t="str">
        <x:v>Layout</x:v>
      </x:c>
      <x:c r="E15" s="179" t="str">
        <x:v>By player count</x:v>
      </x:c>
      <x:c r="F15" s="179" t="n">
        <x:v>4</x:v>
      </x:c>
      <x:c r="G15" s="179" t="n">
        <x:v>5</x:v>
      </x:c>
      <x:c r="H15" s="179" t="n">
        <x:v>7</x:v>
      </x:c>
      <x:c r="I15" s="179" t="n">
        <x:v>8</x:v>
      </x:c>
      <x:c r="J15" s="179" t="n">
        <x:v>10</x:v>
      </x:c>
      <x:c r="K15" s="13" t="str">
        <x:v>End with at least 4 / 5 / 7 / 8 / 10 non-Overstrained Housing Tiles in 1p / 2p / 3p / 4p / 5p. Each non-Overstrained Housing Tile must be adjacent to at least one other Housing Tile.</x:v>
      </x:c>
      <x:c r="L15" s="178" t="str">
        <x:v>1p / 2p / 3p / 4p / 5p</x:v>
      </x:c>
      <x:c r="M15" s="12" t="n">
        <x:v>18</x:v>
      </x:c>
      <x:c r="N15" s="52" t="str">
        <x:v>The Golden River Gate</x:v>
      </x:c>
      <x:c r="O15" s="13" t="str">
        <x:v>The Golden Vial</x:v>
      </x:c>
      <x:c r="P15" s="41"/>
      <x:c r="Q15" s="41"/>
    </x:row>
    <x:row r="16" ht="26.399999618530273" hidden="0" customHeight="1">
      <x:c r="A16" s="12" t="str">
        <x:v>LE-012</x:v>
      </x:c>
      <x:c r="B16" s="179" t="str">
        <x:v>Shape of the Settlement</x:v>
      </x:c>
      <x:c r="C16" s="179" t="str">
        <x:v>A Settlement of Many Hands</x:v>
      </x:c>
      <x:c r="D16" s="179" t="str">
        <x:v>Variety</x:v>
      </x:c>
      <x:c r="E16" s="179" t="str">
        <x:v>By player count</x:v>
      </x:c>
      <x:c r="F16" s="179" t="n">
        <x:v>6</x:v>
      </x:c>
      <x:c r="G16" s="179" t="n">
        <x:v>6</x:v>
      </x:c>
      <x:c r="H16" s="179" t="n">
        <x:v>7</x:v>
      </x:c>
      <x:c r="I16" s="179" t="n">
        <x:v>7</x:v>
      </x:c>
      <x:c r="J16" s="179" t="n">
        <x:v>8</x:v>
      </x:c>
      <x:c r="K16" s="13" t="str">
        <x:v>End with non-Overstrained placed tiles in at least 6 / 6 / 7 / 7 / 8 different tile categories in 1p / 2p / 3p / 4p / 5p. Available after 2 named Ledger Entries have been completed.</x:v>
      </x:c>
      <x:c r="L16" s="178" t="str">
        <x:v>1p / 2p / 3p / 4p / 5p</x:v>
      </x:c>
      <x:c r="M16" s="12" t="n">
        <x:v>25</x:v>
      </x:c>
      <x:c r="N16" s="52" t="str">
        <x:v>The Golden Cairn</x:v>
      </x:c>
      <x:c r="O16" s="13" t="str">
        <x:v>The Golden-Eyed Traveller</x:v>
      </x:c>
      <x:c r="P16" s="41"/>
      <x:c r="Q16" s="41"/>
    </x:row>
    <x:row r="17" ht="26.399999618530273" hidden="0" customHeight="1">
      <x:c r="A17" s="12" t="str">
        <x:v>LE-013</x:v>
      </x:c>
      <x:c r="B17" s="179" t="str">
        <x:v>Shape of the Settlement</x:v>
      </x:c>
      <x:c r="C17" s="179" t="str">
        <x:v>The Fair Day</x:v>
      </x:c>
      <x:c r="D17" s="179" t="str">
        <x:v>Layout</x:v>
      </x:c>
      <x:c r="E17" s="179" t="str">
        <x:v>Once</x:v>
      </x:c>
      <x:c r="F17" s="179"/>
      <x:c r="G17" s="179"/>
      <x:c r="H17" s="179"/>
      <x:c r="I17" s="179"/>
      <x:c r="J17" s="179"/>
      <x:c r="K17" s="13" t="str">
        <x:v>End with one non-Overstrained Merchant Tile adjacent to at least one Housing Tile, one Social Tile, and one Travel Tile. Available after 5 named Ledger Entries have been completed.</x:v>
      </x:c>
      <x:c r="L17" s="178" t="str">
        <x:v>Once</x:v>
      </x:c>
      <x:c r="M17" s="14" t="n">
        <x:v>32</x:v>
      </x:c>
      <x:c r="N17" s="15" t="str">
        <x:v>The Golden Garden</x:v>
      </x:c>
      <x:c r="O17" s="16" t="str">
        <x:v>The Golden Signet Ring</x:v>
      </x:c>
    </x:row>
    <x:row r="18" ht="39.599998474121094" hidden="0" customHeight="1">
      <x:c r="A18" s="12" t="str">
        <x:v>LE-014</x:v>
      </x:c>
      <x:c r="B18" s="179" t="str">
        <x:v>Shape of the Settlement</x:v>
      </x:c>
      <x:c r="C18" s="179" t="str">
        <x:v>The Quiet Courtyard</x:v>
      </x:c>
      <x:c r="D18" s="179" t="str">
        <x:v>Layout</x:v>
      </x:c>
      <x:c r="E18" s="179" t="str">
        <x:v>Once</x:v>
      </x:c>
      <x:c r="F18" s="179"/>
      <x:c r="G18" s="179"/>
      <x:c r="H18" s="179"/>
      <x:c r="I18" s="179"/>
      <x:c r="J18" s="179"/>
      <x:c r="K18" s="13" t="str">
        <x:v>End with a complete six-tile ring around one empty central hex. The ring must include at least four different tile categories and all six ring tiles must be non-Overstrained. Available after 16 named Ledger Entries have been completed.</x:v>
      </x:c>
      <x:c r="L18" s="178" t="str">
        <x:v>Once</x:v>
      </x:c>
      <x:c r="M18" s="41"/>
      <x:c r="N18" s="41"/>
      <x:c r="O18" s="41"/>
    </x:row>
    <x:row r="19" ht="26.399999618530273" hidden="0" customHeight="1">
      <x:c r="A19" s="12" t="str">
        <x:v>LE-015</x:v>
      </x:c>
      <x:c r="B19" s="179" t="str">
        <x:v>River and Bridge</x:v>
      </x:c>
      <x:c r="C19" s="179" t="str">
        <x:v>The First Crossing Held</x:v>
      </x:c>
      <x:c r="D19" s="179" t="str">
        <x:v>River</x:v>
      </x:c>
      <x:c r="E19" s="179" t="str">
        <x:v>Once</x:v>
      </x:c>
      <x:c r="F19" s="179"/>
      <x:c r="G19" s="179"/>
      <x:c r="H19" s="179"/>
      <x:c r="I19" s="179"/>
      <x:c r="J19" s="179"/>
      <x:c r="K19" s="13" t="str">
        <x:v>End with non-Overstrained placed tiles on both sides of the river connected by a Bridge or Stone Bridge.</x:v>
      </x:c>
      <x:c r="L19" s="178" t="str">
        <x:v>Once</x:v>
      </x:c>
      <x:c r="M19" s="41"/>
      <x:c r="N19" s="41"/>
      <x:c r="O19" s="41"/>
    </x:row>
    <x:row r="20" ht="39.599998474121094" hidden="0" customHeight="1">
      <x:c r="A20" s="12" t="str">
        <x:v>LE-016</x:v>
      </x:c>
      <x:c r="B20" s="179" t="str">
        <x:v>River and Bridge</x:v>
      </x:c>
      <x:c r="C20" s="179" t="str">
        <x:v>Riverbank Lanterns</x:v>
      </x:c>
      <x:c r="D20" s="179" t="str">
        <x:v>River</x:v>
      </x:c>
      <x:c r="E20" s="179" t="str">
        <x:v>By player count</x:v>
      </x:c>
      <x:c r="F20" s="179" t="n">
        <x:v>8</x:v>
      </x:c>
      <x:c r="G20" s="179" t="n">
        <x:v>12</x:v>
      </x:c>
      <x:c r="H20" s="179" t="n">
        <x:v>16</x:v>
      </x:c>
      <x:c r="I20" s="179" t="n">
        <x:v>20</x:v>
      </x:c>
      <x:c r="J20" s="179" t="n">
        <x:v>24</x:v>
      </x:c>
      <x:c r="K20" s="13" t="str">
        <x:v>End with at least 8 / 12 / 16 / 20 / 24 riverbank hexes covered by non-Overstrained placed tiles in 1p / 2p / 3p / 4p / 5p. A riverbank hex is a non-River/Water hex adjacent to River/Water terrain. Available after 5 named Ledger Entries have been completed.</x:v>
      </x:c>
      <x:c r="L20" s="178" t="str">
        <x:v>1p / 2p / 3p / 4p / 5p</x:v>
      </x:c>
      <x:c r="M20" s="41"/>
      <x:c r="N20" s="41"/>
      <x:c r="O20" s="41"/>
    </x:row>
    <x:row r="21" ht="26.399999618530273" hidden="0" customHeight="1">
      <x:c r="A21" s="12" t="str">
        <x:v>LE-017</x:v>
      </x:c>
      <x:c r="B21" s="179" t="str">
        <x:v>River and Bridge</x:v>
      </x:c>
      <x:c r="C21" s="179" t="str">
        <x:v>The River Is Welcomed</x:v>
      </x:c>
      <x:c r="D21" s="179" t="str">
        <x:v>River / Layout</x:v>
      </x:c>
      <x:c r="E21" s="179" t="str">
        <x:v>Once</x:v>
      </x:c>
      <x:c r="F21" s="179"/>
      <x:c r="G21" s="179"/>
      <x:c r="H21" s="179"/>
      <x:c r="I21" s="179"/>
      <x:c r="J21" s="179"/>
      <x:c r="K21" s="13" t="str">
        <x:v>End with at least one Housing Tile, one Merchant Tile, one Social Tile, and one Wellbeing Tile adjacent to River/Water terrain. Available after 8 named Ledger Entries have been completed.</x:v>
      </x:c>
      <x:c r="L21" s="178" t="str">
        <x:v>Once</x:v>
      </x:c>
      <x:c r="M21" s="41"/>
      <x:c r="N21" s="41"/>
      <x:c r="O21" s="41"/>
    </x:row>
    <x:row r="22" ht="39.599998474121094" hidden="0" customHeight="1">
      <x:c r="A22" s="12" t="str">
        <x:v>LE-018</x:v>
      </x:c>
      <x:c r="B22" s="179" t="str">
        <x:v>River and Bridge</x:v>
      </x:c>
      <x:c r="C22" s="179" t="str">
        <x:v>Stone over Running Water</x:v>
      </x:c>
      <x:c r="D22" s="179" t="str">
        <x:v>River</x:v>
      </x:c>
      <x:c r="E22" s="179" t="str">
        <x:v>Once</x:v>
      </x:c>
      <x:c r="F22" s="179"/>
      <x:c r="G22" s="179"/>
      <x:c r="H22" s="179"/>
      <x:c r="I22" s="179"/>
      <x:c r="J22" s="179"/>
      <x:c r="K22" s="13" t="str">
        <x:v>End with at least two Bridge / Stone Bridge tiles placed and non-Overstrained, with at least one upgraded to Stone Bridge. Available after 12 named Ledger Entries have been completed.</x:v>
      </x:c>
      <x:c r="L22" s="178" t="str">
        <x:v>Once</x:v>
      </x:c>
      <x:c r="M22" s="41"/>
      <x:c r="N22" s="41"/>
      <x:c r="O22" s="41"/>
    </x:row>
    <x:row r="23" ht="26.399999618530273" hidden="0" customHeight="1">
      <x:c r="A23" s="12" t="str">
        <x:v>LE-019</x:v>
      </x:c>
      <x:c r="B23" s="179" t="str">
        <x:v>Arrivals Remembered</x:v>
      </x:c>
      <x:c r="C23" s="179" t="str">
        <x:v>The Door Was Opened</x:v>
      </x:c>
      <x:c r="D23" s="179" t="str">
        <x:v>Arrival</x:v>
      </x:c>
      <x:c r="E23" s="179" t="str">
        <x:v>By player count</x:v>
      </x:c>
      <x:c r="F23" s="179" t="n">
        <x:v>3</x:v>
      </x:c>
      <x:c r="G23" s="179" t="n">
        <x:v>5</x:v>
      </x:c>
      <x:c r="H23" s="179" t="n">
        <x:v>7</x:v>
      </x:c>
      <x:c r="I23" s="179" t="n">
        <x:v>8</x:v>
      </x:c>
      <x:c r="J23" s="179" t="n">
        <x:v>10</x:v>
      </x:c>
      <x:c r="K23" s="13" t="str">
        <x:v>End with at least 3 / 5 / 7 / 8 / 10 Special Tiles placed in 1p / 2p / 3p / 4p / 5p.</x:v>
      </x:c>
      <x:c r="L23" s="178" t="str">
        <x:v>1p / 2p / 3p / 4p / 5p</x:v>
      </x:c>
      <x:c r="M23" s="41"/>
      <x:c r="N23" s="41"/>
      <x:c r="O23" s="41"/>
    </x:row>
    <x:row r="24" ht="26.399999618530273" hidden="0" customHeight="1">
      <x:c r="A24" s="12" t="str">
        <x:v>LE-020</x:v>
      </x:c>
      <x:c r="B24" s="179" t="str">
        <x:v>Arrivals Remembered</x:v>
      </x:c>
      <x:c r="C24" s="179" t="str">
        <x:v>Seasonal Welcome</x:v>
      </x:c>
      <x:c r="D24" s="179" t="str">
        <x:v>Arrival / Timing</x:v>
      </x:c>
      <x:c r="E24" s="179" t="str">
        <x:v>Once</x:v>
      </x:c>
      <x:c r="F24" s="179"/>
      <x:c r="G24" s="179"/>
      <x:c r="H24" s="179"/>
      <x:c r="I24" s="179"/>
      <x:c r="J24" s="179"/>
      <x:c r="K24" s="13" t="str">
        <x:v>During a game, complete at least one Arrival Card in each Season. Available after 2 named Ledger Entries have been completed.</x:v>
      </x:c>
      <x:c r="L24" s="178" t="str">
        <x:v>Once</x:v>
      </x:c>
      <x:c r="M24" s="41"/>
      <x:c r="N24" s="41"/>
      <x:c r="O24" s="41"/>
    </x:row>
    <x:row r="25" ht="26.399999618530273" hidden="0" customHeight="1">
      <x:c r="A25" s="12" t="str">
        <x:v>LE-021</x:v>
      </x:c>
      <x:c r="B25" s="179" t="str">
        <x:v>Arrivals Remembered</x:v>
      </x:c>
      <x:c r="C25" s="179" t="str">
        <x:v>The Last Lantern Stayed Lit</x:v>
      </x:c>
      <x:c r="D25" s="179" t="str">
        <x:v>Arrival / Timing</x:v>
      </x:c>
      <x:c r="E25" s="179" t="str">
        <x:v>Once</x:v>
      </x:c>
      <x:c r="F25" s="179"/>
      <x:c r="G25" s="179"/>
      <x:c r="H25" s="179"/>
      <x:c r="I25" s="179"/>
      <x:c r="J25" s="179"/>
      <x:c r="K25" s="13" t="str">
        <x:v>During a game, complete an Arrival while it has exactly 1 timer token remaining. Available after 8 named Ledger Entries have been completed.</x:v>
      </x:c>
      <x:c r="L25" s="178" t="str">
        <x:v>Once</x:v>
      </x:c>
      <x:c r="M25" s="41"/>
      <x:c r="N25" s="41"/>
      <x:c r="O25" s="41"/>
    </x:row>
    <x:row r="26" ht="52.79999923706055" hidden="0" customHeight="1">
      <x:c r="A26" s="12" t="str">
        <x:v>LE-022</x:v>
      </x:c>
      <x:c r="B26" s="179" t="str">
        <x:v>Arrivals Remembered</x:v>
      </x:c>
      <x:c r="C26" s="179" t="str">
        <x:v>No Gift Left Waiting</x:v>
      </x:c>
      <x:c r="D26" s="179" t="str">
        <x:v>Arrival</x:v>
      </x:c>
      <x:c r="E26" s="179" t="str">
        <x:v>By player count</x:v>
      </x:c>
      <x:c r="F26" s="179" t="n">
        <x:v>2</x:v>
      </x:c>
      <x:c r="G26" s="179" t="n">
        <x:v>4</x:v>
      </x:c>
      <x:c r="H26" s="179" t="n">
        <x:v>6</x:v>
      </x:c>
      <x:c r="I26" s="179" t="n">
        <x:v>7</x:v>
      </x:c>
      <x:c r="J26" s="179" t="n">
        <x:v>9</x:v>
      </x:c>
      <x:c r="K26" s="13" t="str">
        <x:v>During a game, place at least 2 / 4 / 6 / 7 / 9 Special Tiles in 1p / 2p / 3p / 4p / 5p. Of the Special Tiles unlocked by Arrivals completed before Round 12, leave no more than 2 / 3 / 4 / 5 / 6 unplaced in 1p / 2p / 3p / 4p / 5p. Available after 5 named Ledger Entries have been completed.</x:v>
      </x:c>
      <x:c r="L26" s="178" t="str">
        <x:v>1p / 2p / 3p / 4p / 5p</x:v>
      </x:c>
      <x:c r="M26" s="41"/>
      <x:c r="N26" s="41"/>
      <x:c r="O26" s="41"/>
    </x:row>
    <x:row r="27" ht="39.599998474121094" hidden="0" customHeight="1">
      <x:c r="A27" s="12" t="str">
        <x:v>LE-023</x:v>
      </x:c>
      <x:c r="B27" s="179" t="str">
        <x:v>Arrivals Remembered</x:v>
      </x:c>
      <x:c r="C27" s="179" t="str">
        <x:v>The Vale Made Room</x:v>
      </x:c>
      <x:c r="D27" s="179" t="str">
        <x:v>Arrival / Layout</x:v>
      </x:c>
      <x:c r="E27" s="179" t="str">
        <x:v>Once</x:v>
      </x:c>
      <x:c r="F27" s="179" t="n">
        <x:v>4</x:v>
      </x:c>
      <x:c r="G27" s="179" t="n">
        <x:v>4</x:v>
      </x:c>
      <x:c r="H27" s="179" t="n">
        <x:v>4</x:v>
      </x:c>
      <x:c r="I27" s="179" t="n">
        <x:v>4</x:v>
      </x:c>
      <x:c r="J27" s="179" t="n">
        <x:v>4</x:v>
      </x:c>
      <x:c r="K27" s="13" t="str">
        <x:v>End with at least 4 non-Overstrained Special Tiles. Each counted Special Tile must be adjacent to at least one Housing Tile. Available after 10 named Ledger Entries have been completed.</x:v>
      </x:c>
      <x:c r="L27" s="178" t="str">
        <x:v>Once</x:v>
      </x:c>
      <x:c r="M27" s="41"/>
      <x:c r="N27" s="41"/>
      <x:c r="O27" s="41"/>
    </x:row>
    <x:row r="28" ht="26.399999618530273" hidden="0" customHeight="1">
      <x:c r="A28" s="12" t="str">
        <x:v>LE-024</x:v>
      </x:c>
      <x:c r="B28" s="179" t="str">
        <x:v>Strain and Burdens</x:v>
      </x:c>
      <x:c r="C28" s="179" t="str">
        <x:v>Burdens Set Down</x:v>
      </x:c>
      <x:c r="D28" s="179" t="str">
        <x:v>Burden</x:v>
      </x:c>
      <x:c r="E28" s="179" t="str">
        <x:v>By player count</x:v>
      </x:c>
      <x:c r="F28" s="179" t="n">
        <x:v>2</x:v>
      </x:c>
      <x:c r="G28" s="179" t="n">
        <x:v>3</x:v>
      </x:c>
      <x:c r="H28" s="179" t="n">
        <x:v>4</x:v>
      </x:c>
      <x:c r="I28" s="179" t="n">
        <x:v>5</x:v>
      </x:c>
      <x:c r="J28" s="179" t="n">
        <x:v>6</x:v>
      </x:c>
      <x:c r="K28" s="13" t="str">
        <x:v>During a game, resolve or remove at least 2 / 3 / 4 / 5 / 6 Burdens in 1p / 2p / 3p / 4p / 5p. End with fewer active Burdens than player count.</x:v>
      </x:c>
      <x:c r="L28" s="178" t="str">
        <x:v>1p / 2p / 3p / 4p / 5p</x:v>
      </x:c>
      <x:c r="M28" s="41"/>
      <x:c r="N28" s="41"/>
      <x:c r="O28" s="41"/>
    </x:row>
    <x:row r="29" ht="39.599998474121094" hidden="0" customHeight="1">
      <x:c r="A29" s="12" t="str">
        <x:v>LE-025</x:v>
      </x:c>
      <x:c r="B29" s="179" t="str">
        <x:v>Strain and Burdens</x:v>
      </x:c>
      <x:c r="C29" s="179" t="str">
        <x:v>Burdens Answered in Season</x:v>
      </x:c>
      <x:c r="D29" s="179" t="str">
        <x:v>Burden / Timing</x:v>
      </x:c>
      <x:c r="E29" s="179" t="str">
        <x:v>Once</x:v>
      </x:c>
      <x:c r="F29" s="179"/>
      <x:c r="G29" s="179"/>
      <x:c r="H29" s="179"/>
      <x:c r="I29" s="179"/>
      <x:c r="J29" s="179"/>
      <x:c r="K29" s="13" t="str">
        <x:v>During each Season, reveal at least one Burden. In each Season, resolve or remove at least one Burden during the same round in which it was revealed. Available after 2 named Ledger Entries have been completed.</x:v>
      </x:c>
      <x:c r="L29" s="178" t="str">
        <x:v>Once</x:v>
      </x:c>
      <x:c r="M29" s="41"/>
      <x:c r="N29" s="41"/>
      <x:c r="O29" s="41"/>
    </x:row>
    <x:row r="30" ht="26.399999618530273" hidden="0" customHeight="1">
      <x:c r="A30" s="12" t="str">
        <x:v>LE-026</x:v>
      </x:c>
      <x:c r="B30" s="179" t="str">
        <x:v>Strain and Burdens</x:v>
      </x:c>
      <x:c r="C30" s="179" t="str">
        <x:v>The Quiet Holds</x:v>
      </x:c>
      <x:c r="D30" s="179" t="str">
        <x:v>Resilience</x:v>
      </x:c>
      <x:c r="E30" s="179" t="str">
        <x:v>By player count</x:v>
      </x:c>
      <x:c r="F30" s="179" t="n">
        <x:v>4</x:v>
      </x:c>
      <x:c r="G30" s="179" t="n">
        <x:v>8</x:v>
      </x:c>
      <x:c r="H30" s="179" t="n">
        <x:v>12</x:v>
      </x:c>
      <x:c r="I30" s="179" t="n">
        <x:v>16</x:v>
      </x:c>
      <x:c r="J30" s="179" t="n">
        <x:v>20</x:v>
      </x:c>
      <x:c r="K30" s="13" t="str">
        <x:v>End with 0 Overstrained tiles and no more than 4 / 8 / 12 / 16 / 20 Strain tokens on the map in 1p / 2p / 3p / 4p / 5p. Available after 5 named Ledger Entries have been completed.</x:v>
      </x:c>
      <x:c r="L30" s="178" t="str">
        <x:v>1p / 2p / 3p / 4p / 5p</x:v>
      </x:c>
      <x:c r="M30" s="41"/>
      <x:c r="N30" s="41"/>
      <x:c r="O30" s="41"/>
    </x:row>
    <x:row r="31" ht="26.399999618530273" hidden="0" customHeight="1">
      <x:c r="A31" s="12" t="str">
        <x:v>LE-027</x:v>
      </x:c>
      <x:c r="B31" s="179" t="str">
        <x:v>Strain and Burdens</x:v>
      </x:c>
      <x:c r="C31" s="179" t="str">
        <x:v>No Strain Took Root</x:v>
      </x:c>
      <x:c r="D31" s="179" t="str">
        <x:v>Resilience</x:v>
      </x:c>
      <x:c r="E31" s="179" t="str">
        <x:v>By player count</x:v>
      </x:c>
      <x:c r="F31" s="179" t="n">
        <x:v>0</x:v>
      </x:c>
      <x:c r="G31" s="179" t="n">
        <x:v>0</x:v>
      </x:c>
      <x:c r="H31" s="179" t="n">
        <x:v>0</x:v>
      </x:c>
      <x:c r="I31" s="179" t="n">
        <x:v>0</x:v>
      </x:c>
      <x:c r="J31" s="179" t="n">
        <x:v>0</x:v>
      </x:c>
      <x:c r="K31" s="13" t="str">
        <x:v>End with 0 Strain tokens on the map. Available after 18 named Ledger Entries have been completed.</x:v>
      </x:c>
      <x:c r="L31" s="178" t="str">
        <x:v>1p / 2p / 3p / 4p / 5p</x:v>
      </x:c>
      <x:c r="M31" s="41"/>
      <x:c r="N31" s="41"/>
      <x:c r="O31" s="41"/>
    </x:row>
    <x:row r="32" ht="26.399999618530273" hidden="0" customHeight="1">
      <x:c r="A32" s="12" t="str">
        <x:v>LE-028</x:v>
      </x:c>
      <x:c r="B32" s="179" t="str">
        <x:v>Strain and Burdens</x:v>
      </x:c>
      <x:c r="C32" s="179" t="str">
        <x:v>Sheltered District</x:v>
      </x:c>
      <x:c r="D32" s="179" t="str">
        <x:v>Supported / Layout</x:v>
      </x:c>
      <x:c r="E32" s="179" t="str">
        <x:v>Once</x:v>
      </x:c>
      <x:c r="F32" s="179"/>
      <x:c r="G32" s="179"/>
      <x:c r="H32" s="179"/>
      <x:c r="I32" s="179"/>
      <x:c r="J32" s="179"/>
      <x:c r="K32" s="13" t="str">
        <x:v>End with at least 6 non-Overstrained tiles with Supported, spread across at least 3 different tile categories. Available after 5 named Ledger Entries have been completed.</x:v>
      </x:c>
      <x:c r="L32" s="178" t="str">
        <x:v>Once</x:v>
      </x:c>
      <x:c r="M32" s="41"/>
      <x:c r="N32" s="41"/>
      <x:c r="O32" s="41"/>
    </x:row>
    <x:row r="33" ht="26.399999618530273" hidden="0" customHeight="1">
      <x:c r="A33" s="12" t="str">
        <x:v>LE-029</x:v>
      </x:c>
      <x:c r="B33" s="179" t="str">
        <x:v>Strain and Burdens</x:v>
      </x:c>
      <x:c r="C33" s="179" t="str">
        <x:v>The Vale Bent, Not Broke</x:v>
      </x:c>
      <x:c r="D33" s="179" t="str">
        <x:v>Recovery</x:v>
      </x:c>
      <x:c r="E33" s="179" t="str">
        <x:v>Once</x:v>
      </x:c>
      <x:c r="F33" s="179"/>
      <x:c r="G33" s="179"/>
      <x:c r="H33" s="179"/>
      <x:c r="I33" s="179"/>
      <x:c r="J33" s="179"/>
      <x:c r="K33" s="13" t="str">
        <x:v>During a game, have at least 2 Overstrained tiles on the map at the same time, then end with 0 Overstrained tiles. Available after 12 named Ledger Entries have been completed.</x:v>
      </x:c>
      <x:c r="L33" s="178" t="str">
        <x:v>Once</x:v>
      </x:c>
    </x:row>
    <x:row r="34" ht="26.399999618530273" hidden="0" customHeight="1">
      <x:c r="A34" s="12" t="str">
        <x:v>LE-030</x:v>
      </x:c>
      <x:c r="B34" s="179" t="str">
        <x:v>Strain and Burdens</x:v>
      </x:c>
      <x:c r="C34" s="179" t="str">
        <x:v>Mended Before Nightfall</x:v>
      </x:c>
      <x:c r="D34" s="179" t="str">
        <x:v>Recovery</x:v>
      </x:c>
      <x:c r="E34" s="179" t="str">
        <x:v>Once</x:v>
      </x:c>
      <x:c r="F34" s="179"/>
      <x:c r="G34" s="179"/>
      <x:c r="H34" s="179"/>
      <x:c r="I34" s="179"/>
      <x:c r="J34" s="179"/>
      <x:c r="K34" s="13" t="str">
        <x:v>During a single round, remove at least 3 Strain total from tiles across at least 2 different tile categories. Available after 10 named Ledger Entries have been completed.</x:v>
      </x:c>
      <x:c r="L34" s="178" t="str">
        <x:v>Once</x:v>
      </x:c>
    </x:row>
    <x:row r="35" ht="26.399999618530273" hidden="0" customHeight="1">
      <x:c r="A35" s="12" t="str">
        <x:v>LE-031</x:v>
      </x:c>
      <x:c r="B35" s="179" t="str">
        <x:v>Work and Stores</x:v>
      </x:c>
      <x:c r="C35" s="179" t="str">
        <x:v>Good Work Made Last</x:v>
      </x:c>
      <x:c r="D35" s="179" t="str">
        <x:v>Upgrade</x:v>
      </x:c>
      <x:c r="E35" s="179" t="str">
        <x:v>By player count</x:v>
      </x:c>
      <x:c r="F35" s="179" t="n">
        <x:v>5</x:v>
      </x:c>
      <x:c r="G35" s="179" t="n">
        <x:v>8</x:v>
      </x:c>
      <x:c r="H35" s="179" t="n">
        <x:v>10</x:v>
      </x:c>
      <x:c r="I35" s="179" t="n">
        <x:v>11</x:v>
      </x:c>
      <x:c r="J35" s="179" t="n">
        <x:v>13</x:v>
      </x:c>
      <x:c r="K35" s="13" t="str">
        <x:v>Complete at least 5 / 8 / 10 / 11 / 13 upgrades in 1p / 2p / 3p / 4p / 5p. Available after 8 named Ledger Entries have been completed.</x:v>
      </x:c>
      <x:c r="L35" s="178" t="str">
        <x:v>1p / 2p / 3p / 4p / 5p</x:v>
      </x:c>
    </x:row>
    <x:row r="36" ht="52.79999923706055" hidden="0" customHeight="1">
      <x:c r="A36" s="12" t="str">
        <x:v>LE-032</x:v>
      </x:c>
      <x:c r="B36" s="179" t="str">
        <x:v>Work and Stores</x:v>
      </x:c>
      <x:c r="C36" s="179" t="str">
        <x:v>The Market Track</x:v>
      </x:c>
      <x:c r="D36" s="179" t="str">
        <x:v>Craft / Merchant / Layout</x:v>
      </x:c>
      <x:c r="E36" s="179" t="str">
        <x:v>Once</x:v>
      </x:c>
      <x:c r="F36" s="179"/>
      <x:c r="G36" s="179"/>
      <x:c r="H36" s="179"/>
      <x:c r="I36" s="179"/>
      <x:c r="J36" s="179"/>
      <x:c r="K36" s="13" t="str">
        <x:v>End with both Crafting Tiles and both Merchant Tiles placed. All four must be non-Overstrained and adjacent to the same single physical Track / Improved Track Tile, not merely the same connected Travel group. Available after 10 named Ledger Entries have been completed.</x:v>
      </x:c>
      <x:c r="L36" s="178" t="str">
        <x:v>Once</x:v>
      </x:c>
    </x:row>
    <x:row r="37" ht="39.599998474121094" hidden="0" customHeight="1">
      <x:c r="A37" s="12" t="str">
        <x:v>LE-033</x:v>
      </x:c>
      <x:c r="B37" s="179" t="str">
        <x:v>Work and Stores</x:v>
      </x:c>
      <x:c r="C37" s="179" t="str">
        <x:v>Work and Rest</x:v>
      </x:c>
      <x:c r="D37" s="179" t="str">
        <x:v>Layout</x:v>
      </x:c>
      <x:c r="E37" s="179" t="str">
        <x:v>Once</x:v>
      </x:c>
      <x:c r="F37" s="179"/>
      <x:c r="G37" s="179"/>
      <x:c r="H37" s="179"/>
      <x:c r="I37" s="179"/>
      <x:c r="J37" s="179"/>
      <x:c r="K37" s="13" t="str">
        <x:v>End with a Washhouse or Sweet Flag Bathhouse non-Overstrained and adjacent to at least one Crafting Tile, one Merchant Tile, and one Social Tile. Available after 9 named Ledger Entries have been completed.</x:v>
      </x:c>
      <x:c r="L37" s="178" t="str">
        <x:v>Once</x:v>
      </x:c>
    </x:row>
    <x:row r="38" ht="39.599998474121094" hidden="0" customHeight="1">
      <x:c r="A38" s="12" t="str">
        <x:v>LE-034</x:v>
      </x:c>
      <x:c r="B38" s="179" t="str">
        <x:v>Work and Stores</x:v>
      </x:c>
      <x:c r="C38" s="179" t="str">
        <x:v>Twin Farmsteads</x:v>
      </x:c>
      <x:c r="D38" s="179" t="str">
        <x:v>Resource / Layout</x:v>
      </x:c>
      <x:c r="E38" s="179" t="str">
        <x:v>Once</x:v>
      </x:c>
      <x:c r="F38" s="179"/>
      <x:c r="G38" s="179"/>
      <x:c r="H38" s="179"/>
      <x:c r="I38" s="179"/>
      <x:c r="J38" s="179"/>
      <x:c r="K38" s="13" t="str">
        <x:v>End with both Farmstead / Artisan Farm tiles placed and non-Overstrained. Each must be adjacent to at least one Housing Tile. Available after 2 named Ledger Entries have been completed.</x:v>
      </x:c>
      <x:c r="L38" s="178" t="str">
        <x:v>Once</x:v>
      </x:c>
    </x:row>
    <x:row r="39" ht="39.599998474121094" hidden="0" customHeight="1">
      <x:c r="A39" s="12" t="str">
        <x:v>LE-035</x:v>
      </x:c>
      <x:c r="B39" s="179" t="str">
        <x:v>Work and Stores</x:v>
      </x:c>
      <x:c r="C39" s="179" t="str">
        <x:v>Twin Shafts</x:v>
      </x:c>
      <x:c r="D39" s="179" t="str">
        <x:v>Resource / Layout</x:v>
      </x:c>
      <x:c r="E39" s="179" t="str">
        <x:v>Once</x:v>
      </x:c>
      <x:c r="F39" s="179"/>
      <x:c r="G39" s="179"/>
      <x:c r="H39" s="179"/>
      <x:c r="I39" s="179"/>
      <x:c r="J39" s="179"/>
      <x:c r="K39" s="13" t="str">
        <x:v>End with both Mine Tunnel / Mine Shaft tiles placed and non-Overstrained. Each must be adjacent to at least one Travel Tile. Available after 2 named Ledger Entries have been completed.</x:v>
      </x:c>
      <x:c r="L39" s="178" t="str">
        <x:v>Once</x:v>
      </x:c>
    </x:row>
    <x:row r="40" ht="26.399999618530273" hidden="0" customHeight="1">
      <x:c r="A40" s="12" t="str">
        <x:v>LE-036</x:v>
      </x:c>
      <x:c r="B40" s="179" t="str">
        <x:v>Work and Stores</x:v>
      </x:c>
      <x:c r="C40" s="179" t="str">
        <x:v>The Resource Crown</x:v>
      </x:c>
      <x:c r="D40" s="179" t="str">
        <x:v>Resource / Upgrade</x:v>
      </x:c>
      <x:c r="E40" s="179" t="str">
        <x:v>Once</x:v>
      </x:c>
      <x:c r="F40" s="179" t="n">
        <x:v>3</x:v>
      </x:c>
      <x:c r="G40" s="179" t="n">
        <x:v>3</x:v>
      </x:c>
      <x:c r="H40" s="179" t="n">
        <x:v>3</x:v>
      </x:c>
      <x:c r="I40" s="179" t="n">
        <x:v>3</x:v>
      </x:c>
      <x:c r="J40" s="179" t="n">
        <x:v>3</x:v>
      </x:c>
      <x:c r="K40" s="13" t="str">
        <x:v>End with both copies of any three different Resource Tile lineages placed, upgraded, and non-Overstrained. Available after 20 named Ledger Entries have been completed.</x:v>
      </x:c>
      <x:c r="L40" s="178" t="str">
        <x:v>Once</x:v>
      </x:c>
    </x:row>
    <x:row r="41" ht="52.79999923706055" hidden="0" customHeight="1">
      <x:c r="A41" s="12" t="str">
        <x:v>LE-037</x:v>
      </x:c>
      <x:c r="B41" s="179" t="str">
        <x:v>Work and Stores</x:v>
      </x:c>
      <x:c r="C41" s="179" t="str">
        <x:v>The Four Storehouses</x:v>
      </x:c>
      <x:c r="D41" s="179" t="str">
        <x:v>Resource</x:v>
      </x:c>
      <x:c r="E41" s="179" t="str">
        <x:v>Once</x:v>
      </x:c>
      <x:c r="F41" s="179"/>
      <x:c r="G41" s="179"/>
      <x:c r="H41" s="179"/>
      <x:c r="I41" s="179"/>
      <x:c r="J41" s="179"/>
      <x:c r="K41" s="13" t="str">
        <x:v>End with both copies of each main Resource Tile lineage placed and non-Overstrained: Lumber Yard / Sustainable Lumber Yard, Mine Tunnel / Mine Shaft, Gathering Outpost / Gathering Lodge, and Farmstead / Artisan Farm. Available after 25 named Ledger Entries have been completed.</x:v>
      </x:c>
      <x:c r="L41" s="178" t="str">
        <x:v>Once</x:v>
      </x:c>
    </x:row>
    <x:row r="42" ht="26.399999618530273" hidden="0" customHeight="1">
      <x:c r="A42" s="12" t="str">
        <x:v>LE-038</x:v>
      </x:c>
      <x:c r="B42" s="179" t="str">
        <x:v>Work and Stores</x:v>
      </x:c>
      <x:c r="C42" s="179" t="str">
        <x:v>Stores Set Aside</x:v>
      </x:c>
      <x:c r="D42" s="179" t="str">
        <x:v>Warehouse</x:v>
      </x:c>
      <x:c r="E42" s="179" t="str">
        <x:v>By player count</x:v>
      </x:c>
      <x:c r="F42" s="179" t="n">
        <x:v>65</x:v>
      </x:c>
      <x:c r="G42" s="179" t="n">
        <x:v>75</x:v>
      </x:c>
      <x:c r="H42" s="179" t="n">
        <x:v>75</x:v>
      </x:c>
      <x:c r="I42" s="179" t="n">
        <x:v>80</x:v>
      </x:c>
      <x:c r="J42" s="179" t="n">
        <x:v>85</x:v>
      </x:c>
      <x:c r="K42" s="13" t="str">
        <x:v>End with at least 65 / 75 / 75 / 80 / 85 total resources in the Warehouse in 1p / 2p / 3p / 4p / 5p. Available after 25 named Ledger Entries have been completed.</x:v>
      </x:c>
      <x:c r="L42" s="178" t="str">
        <x:v>1p / 2p / 3p / 4p / 5p</x:v>
      </x:c>
    </x:row>
    <x:row r="43" ht="39.599998474121094" hidden="0" customHeight="1">
      <x:c r="A43" s="12" t="str">
        <x:v>LE-039</x:v>
      </x:c>
      <x:c r="B43" s="179" t="str">
        <x:v>Work and Stores</x:v>
      </x:c>
      <x:c r="C43" s="179" t="str">
        <x:v>Nothing Left to Spare</x:v>
      </x:c>
      <x:c r="D43" s="179" t="str">
        <x:v>Warehouse</x:v>
      </x:c>
      <x:c r="E43" s="179" t="str">
        <x:v>Once</x:v>
      </x:c>
      <x:c r="F43" s="179" t="n">
        <x:v>80</x:v>
      </x:c>
      <x:c r="G43" s="179" t="n">
        <x:v>120</x:v>
      </x:c>
      <x:c r="H43" s="179" t="n">
        <x:v>170</x:v>
      </x:c>
      <x:c r="I43" s="179" t="n">
        <x:v>190</x:v>
      </x:c>
      <x:c r="J43" s="179" t="n">
        <x:v>230</x:v>
      </x:c>
      <x:c r="K43" s="13" t="str">
        <x:v>Available after 20 named Ledger Entries have been completed. End with no more than 2 total Warehouse resources and a final score of at least 80 / 120 / 170 / 190 / 230 in 1p / 2p / 3p / 4p / 5p.</x:v>
      </x:c>
      <x:c r="L43" s="178" t="str">
        <x:v>Once</x:v>
      </x:c>
    </x:row>
    <x:row r="44" ht="39.599998474121094" hidden="0" customHeight="1">
      <x:c r="A44" s="12" t="str">
        <x:v>LE-040</x:v>
      </x:c>
      <x:c r="B44" s="179" t="str">
        <x:v>Work and Stores</x:v>
      </x:c>
      <x:c r="C44" s="179" t="str">
        <x:v>Bread, Stone, and Timber</x:v>
      </x:c>
      <x:c r="D44" s="179" t="str">
        <x:v>Resource / Layout</x:v>
      </x:c>
      <x:c r="E44" s="179" t="str">
        <x:v>Once</x:v>
      </x:c>
      <x:c r="F44" s="179"/>
      <x:c r="G44" s="179"/>
      <x:c r="H44" s="179"/>
      <x:c r="I44" s="179"/>
      <x:c r="J44" s="179"/>
      <x:c r="K44" s="13" t="str">
        <x:v>End with a Lumber Yard / Sustainable Lumber Yard, a Mine Tunnel / Mine Shaft, and a Farmstead / Artisan Farm all non-Overstrained and connected through the same non-Overstrained Travel group. Available after 9 named Ledger Entries have been completed.</x:v>
      </x:c>
      <x:c r="L44" s="178" t="str">
        <x:v>Once</x:v>
      </x:c>
    </x:row>
    <x:row r="45" ht="52.79999923706055" hidden="0" customHeight="1">
      <x:c r="A45" s="12" t="str">
        <x:v>LE-041</x:v>
      </x:c>
      <x:c r="B45" s="179" t="str">
        <x:v>Vows</x:v>
      </x:c>
      <x:c r="C45" s="179" t="str">
        <x:v>No Roads Raised</x:v>
      </x:c>
      <x:c r="D45" s="179" t="str">
        <x:v>Vow</x:v>
      </x:c>
      <x:c r="E45" s="179" t="str">
        <x:v>By player count</x:v>
      </x:c>
      <x:c r="F45" s="179" t="n">
        <x:v>90</x:v>
      </x:c>
      <x:c r="G45" s="179" t="n">
        <x:v>130</x:v>
      </x:c>
      <x:c r="H45" s="179" t="n">
        <x:v>190</x:v>
      </x:c>
      <x:c r="I45" s="179" t="n">
        <x:v>240</x:v>
      </x:c>
      <x:c r="J45" s="179" t="n">
        <x:v>290</x:v>
      </x:c>
      <x:c r="K45" s="13" t="str">
        <x:v>Available after 25 named Ledger Entries have been completed. Declare before setup. Place no Travel Tiles and reach a final score of at least 90 / 130 / 190 / 240 / 290 in 1p / 2p / 3p / 4p / 5p. Any Steward Power, Boon, or Golden effect that places a Travel Tile breaks this Vow. Only one Steward’s Ledger Vow may be declared per game.</x:v>
      </x:c>
      <x:c r="L45" s="178" t="str">
        <x:v>1p / 2p / 3p / 4p / 5p</x:v>
      </x:c>
    </x:row>
    <x:row r="46" ht="52.79999923706055" hidden="0" customHeight="1">
      <x:c r="A46" s="12" t="str">
        <x:v>LE-042</x:v>
      </x:c>
      <x:c r="B46" s="179" t="str">
        <x:v>Vows</x:v>
      </x:c>
      <x:c r="C46" s="179" t="str">
        <x:v>No Fine Work</x:v>
      </x:c>
      <x:c r="D46" s="179" t="str">
        <x:v>Vow</x:v>
      </x:c>
      <x:c r="E46" s="179" t="str">
        <x:v>By player count</x:v>
      </x:c>
      <x:c r="F46" s="179" t="n">
        <x:v>110</x:v>
      </x:c>
      <x:c r="G46" s="179" t="n">
        <x:v>85</x:v>
      </x:c>
      <x:c r="H46" s="179" t="n">
        <x:v>75</x:v>
      </x:c>
      <x:c r="I46" s="179" t="n">
        <x:v>40</x:v>
      </x:c>
      <x:c r="J46" s="179" t="n">
        <x:v>30</x:v>
      </x:c>
      <x:c r="K46" s="13" t="str">
        <x:v>Available after 28 named Ledger Entries have been completed. Declare before setup. Upgrade no Core Tiles by any source and reach a final score of at least 110 / 85 / 75 / 40 / 30 in 1p / 2p / 3p / 4p / 5p. Any Steward Power, Boon, or Golden effect that upgrades a Core Tile breaks this Vow. Only one Steward’s Ledger Vow may be declared per game.</x:v>
      </x:c>
      <x:c r="L46" s="178" t="str">
        <x:v>1p / 2p / 3p / 4p / 5p</x:v>
      </x:c>
    </x:row>
    <x:row r="47" ht="39.599998474121094" hidden="0" customHeight="1">
      <x:c r="A47" s="12" t="str">
        <x:v>LE-043</x:v>
      </x:c>
      <x:c r="B47" s="179" t="str">
        <x:v>Vows</x:v>
      </x:c>
      <x:c r="C47" s="179" t="str">
        <x:v>The Small Storehouse</x:v>
      </x:c>
      <x:c r="D47" s="179" t="str">
        <x:v>Vow</x:v>
      </x:c>
      <x:c r="E47" s="179" t="str">
        <x:v>Once</x:v>
      </x:c>
      <x:c r="F47" s="179"/>
      <x:c r="G47" s="179"/>
      <x:c r="H47" s="179"/>
      <x:c r="I47" s="179"/>
      <x:c r="J47" s="179"/>
      <x:c r="K47" s="13" t="str">
        <x:v>Available after 34 named Ledger Entries have been completed. 3–5 players only. Declare before setup. The Warehouse may never hold more than 8 of any resource type at any time. Only one Steward’s Ledger Vow may be declared per game.</x:v>
      </x:c>
      <x:c r="L47" s="178" t="str">
        <x:v>Once</x:v>
      </x:c>
    </x:row>
    <x:row r="48" ht="39.599998474121094" hidden="0" customHeight="1">
      <x:c r="A48" s="12" t="str">
        <x:v>LE-044</x:v>
      </x:c>
      <x:c r="B48" s="179" t="str">
        <x:v>Steward Record</x:v>
      </x:c>
      <x:c r="C48" s="179" t="str">
        <x:v>The Vanguard’s Crossing</x:v>
      </x:c>
      <x:c r="D48" s="179" t="str">
        <x:v>Steward</x:v>
      </x:c>
      <x:c r="E48" s="179" t="str">
        <x:v>Once</x:v>
      </x:c>
      <x:c r="F48" s="179"/>
      <x:c r="G48" s="179"/>
      <x:c r="H48" s="179"/>
      <x:c r="I48" s="179"/>
      <x:c r="J48" s="179"/>
      <x:c r="K48" s="13" t="str">
        <x:v>With Vanguard chosen, use the Vanguard Power in each Season and end with non-Overstrained placed tiles on both sides of the river connected by a Bridge or Stone Bridge. Available after 9 named Ledger Entries have been completed.</x:v>
      </x:c>
      <x:c r="L48" s="178" t="str">
        <x:v>Once</x:v>
      </x:c>
    </x:row>
    <x:row r="49" ht="39.599998474121094" hidden="0" customHeight="1">
      <x:c r="A49" s="12" t="str">
        <x:v>LE-045</x:v>
      </x:c>
      <x:c r="B49" s="179" t="str">
        <x:v>Steward Record</x:v>
      </x:c>
      <x:c r="C49" s="179" t="str">
        <x:v>The Knight’s Hearth</x:v>
      </x:c>
      <x:c r="D49" s="179" t="str">
        <x:v>Steward</x:v>
      </x:c>
      <x:c r="E49" s="179" t="str">
        <x:v>Once</x:v>
      </x:c>
      <x:c r="F49" s="179"/>
      <x:c r="G49" s="179"/>
      <x:c r="H49" s="179"/>
      <x:c r="I49" s="179"/>
      <x:c r="J49" s="179"/>
      <x:c r="K49" s="13" t="str">
        <x:v>With Knight chosen, use the Knight Power in each Season and end with a connected Housing cluster of at least six non-Overstrained Housing Tiles. Available after 10 named Ledger Entries have been completed.</x:v>
      </x:c>
      <x:c r="L49" s="178" t="str">
        <x:v>Once</x:v>
      </x:c>
    </x:row>
    <x:row r="50" ht="39.599998474121094" hidden="0" customHeight="1">
      <x:c r="A50" s="12" t="str">
        <x:v>LE-046</x:v>
      </x:c>
      <x:c r="B50" s="179" t="str">
        <x:v>Steward Record</x:v>
      </x:c>
      <x:c r="C50" s="179" t="str">
        <x:v>The Sentinel’s Craft</x:v>
      </x:c>
      <x:c r="D50" s="179" t="str">
        <x:v>Steward</x:v>
      </x:c>
      <x:c r="E50" s="179" t="str">
        <x:v>Once</x:v>
      </x:c>
      <x:c r="F50" s="179"/>
      <x:c r="G50" s="179"/>
      <x:c r="H50" s="179"/>
      <x:c r="I50" s="179"/>
      <x:c r="J50" s="179"/>
      <x:c r="K50" s="13" t="str">
        <x:v>With Sentinel chosen, use the Sentinel Power in each Season and end with at least three upgraded non-Overstrained Core Tiles adjacent to another upgraded Core Tile. Available after 12 named Ledger Entries have been completed.</x:v>
      </x:c>
      <x:c r="L50" s="178" t="str">
        <x:v>Once</x:v>
      </x:c>
    </x:row>
    <x:row r="51" ht="39.599998474121094" hidden="0" customHeight="1">
      <x:c r="A51" s="12" t="str">
        <x:v>LE-047</x:v>
      </x:c>
      <x:c r="B51" s="179" t="str">
        <x:v>Steward Record</x:v>
      </x:c>
      <x:c r="C51" s="179" t="str">
        <x:v>The Ranger’s Reach</x:v>
      </x:c>
      <x:c r="D51" s="179" t="str">
        <x:v>Steward</x:v>
      </x:c>
      <x:c r="E51" s="179" t="str">
        <x:v>Once</x:v>
      </x:c>
      <x:c r="F51" s="179"/>
      <x:c r="G51" s="179"/>
      <x:c r="H51" s="179"/>
      <x:c r="I51" s="179"/>
      <x:c r="J51" s="179"/>
      <x:c r="K51" s="13" t="str">
        <x:v>With Ranger chosen, use the Ranger Power to place or upgrade in three different non-Grasslands, non-River/Water terrain types during the game. Available after 15 named Ledger Entries have been completed.</x:v>
      </x:c>
      <x:c r="L51" s="178" t="str">
        <x:v>Once</x:v>
      </x:c>
    </x:row>
    <x:row r="52" ht="39.599998474121094" hidden="0" customHeight="1">
      <x:c r="A52" s="12" t="str">
        <x:v>LE-048</x:v>
      </x:c>
      <x:c r="B52" s="179" t="str">
        <x:v>Steward Record</x:v>
      </x:c>
      <x:c r="C52" s="179" t="str">
        <x:v>The Warden’s Vigil</x:v>
      </x:c>
      <x:c r="D52" s="179" t="str">
        <x:v>Steward</x:v>
      </x:c>
      <x:c r="E52" s="179" t="str">
        <x:v>Once</x:v>
      </x:c>
      <x:c r="F52" s="179"/>
      <x:c r="G52" s="179"/>
      <x:c r="H52" s="179"/>
      <x:c r="I52" s="179"/>
      <x:c r="J52" s="179"/>
      <x:c r="K52" s="13" t="str">
        <x:v>With Warden chosen, reveal at least one Burden in each Season, use the Warden Power in each Season, and end with no Overstrained tiles and no more than one active Burden. Available after 3 named Ledger Entries have been completed.</x:v>
      </x:c>
      <x:c r="L52" s="178" t="str">
        <x:v>Once</x:v>
      </x:c>
    </x:row>
    <x:row r="53" ht="39.599998474121094" hidden="0" customHeight="1">
      <x:c r="A53" s="12" t="str">
        <x:v>LE-049</x:v>
      </x:c>
      <x:c r="B53" s="179" t="str">
        <x:v>Steward Record</x:v>
      </x:c>
      <x:c r="C53" s="179" t="str">
        <x:v>The Quartermaster’s Stores</x:v>
      </x:c>
      <x:c r="D53" s="179" t="str">
        <x:v>Steward</x:v>
      </x:c>
      <x:c r="E53" s="179" t="str">
        <x:v>By player count</x:v>
      </x:c>
      <x:c r="F53" s="179" t="n">
        <x:v>3</x:v>
      </x:c>
      <x:c r="G53" s="179" t="n">
        <x:v>4</x:v>
      </x:c>
      <x:c r="H53" s="179" t="n">
        <x:v>4</x:v>
      </x:c>
      <x:c r="I53" s="179" t="n">
        <x:v>5</x:v>
      </x:c>
      <x:c r="J53" s="179" t="n">
        <x:v>6</x:v>
      </x:c>
      <x:c r="K53" s="13" t="str">
        <x:v>With Quartermaster chosen, use the Quartermaster Power in each Season and end with 10+ resources in at least 3 / 4 / 4 / 5 / 6 resource types in 1p / 2p / 3p / 4p / 5p. Available after 16 named Ledger Entries have been completed.</x:v>
      </x:c>
      <x:c r="L53" s="178" t="str">
        <x:v>1p / 2p / 3p / 4p / 5p</x:v>
      </x:c>
    </x:row>
    <x:row r="54" ht="26.399999618530273" hidden="0" customHeight="1">
      <x:c r="A54" s="14" t="str">
        <x:v>LE-050</x:v>
      </x:c>
      <x:c r="B54" s="15" t="str">
        <x:v>Steward Record</x:v>
      </x:c>
      <x:c r="C54" s="15" t="str">
        <x:v>Six Hands, One Vale</x:v>
      </x:c>
      <x:c r="D54" s="15" t="str">
        <x:v>Steward</x:v>
      </x:c>
      <x:c r="E54" s="15" t="str">
        <x:v>Once</x:v>
      </x:c>
      <x:c r="F54" s="15"/>
      <x:c r="G54" s="15"/>
      <x:c r="H54" s="15"/>
      <x:c r="I54" s="15"/>
      <x:c r="J54" s="15"/>
      <x:c r="K54" s="16" t="str">
        <x:v>Across multiple games, complete every Steward Objective at least once. Available after 25 named Ledger Entries have been completed.</x:v>
      </x:c>
      <x:c r="L54" s="178" t="str">
        <x:v>Once</x:v>
      </x:c>
    </x:row>
  </x:sheetData>
  <x:mergeCells>
    <x:mergeCell ref="A1:Q1"/>
    <x:mergeCell ref="A2:Q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43" hidden="0" customWidth="1"/>
    <x:col min="4" max="4" width="38" hidden="0" customWidth="1"/>
    <x:col min="5" max="5" width="13" hidden="0" customWidth="1"/>
    <x:col min="6" max="6" width="13" hidden="0" customWidth="1"/>
    <x:col min="7" max="7" width="12" hidden="0" customWidth="1"/>
    <x:col min="8" max="8" width="12" hidden="0" customWidth="1"/>
  </x:cols>
  <x:sheetData>
    <x:row r="1" ht="30" customHeight="1">
      <x:c r="A1" s="72" t="str">
        <x:v>Encounter Card Text Fit Audit</x:v>
      </x:c>
      <x:c r="B1" s="72"/>
      <x:c r="C1" s="72"/>
      <x:c r="D1" s="72"/>
      <x:c r="E1" s="72"/>
      <x:c r="F1" s="72"/>
      <x:c r="G1" s="72"/>
      <x:c r="H1" s="72"/>
    </x:row>
    <x:row r="2" ht="34" customHeight="1">
      <x:c r="A2" s="75" t="str">
        <x:v>Red text exceeds the locked PSD template limit. Amber text is within 10% of the limit and should receive a visual proof.</x:v>
      </x:c>
      <x:c r="B2" s="75"/>
      <x:c r="C2" s="75"/>
      <x:c r="D2" s="75"/>
      <x:c r="E2" s="75"/>
      <x:c r="F2" s="75"/>
      <x:c r="G2" s="75"/>
      <x:c r="H2" s="75"/>
    </x:row>
    <x:row r="3" ht="34" customHeight="1">
      <x:c r="A3" s="75" t="str">
        <x:v>For Excel Online compatibility, the displayed limits are fixed rule references. Word widths and line breaks still matter. Card IDs turn red when any printable field fails.</x:v>
      </x:c>
      <x:c r="B3" s="75"/>
      <x:c r="C3" s="75"/>
      <x:c r="D3" s="75"/>
      <x:c r="E3" s="75"/>
      <x:c r="F3" s="75"/>
      <x:c r="G3" s="75"/>
      <x:c r="H3" s="75"/>
    </x:row>
    <x:row r="4">
      <x:c r="A4" s="69"/>
      <x:c r="B4" s="69"/>
      <x:c r="C4" s="69"/>
      <x:c r="D4" s="69"/>
      <x:c r="E4" s="69"/>
      <x:c r="F4" s="69"/>
      <x:c r="G4" s="69"/>
      <x:c r="H4" s="69"/>
    </x:row>
    <x:row r="5" ht="30" customHeight="1">
      <x:c r="A5" s="77" t="str">
        <x:v>Card type</x:v>
      </x:c>
      <x:c r="B5" s="77" t="str">
        <x:v>Template field</x:v>
      </x:c>
      <x:c r="C5" s="77" t="str">
        <x:v>Source cells</x:v>
      </x:c>
      <x:c r="D5" s="77" t="str">
        <x:v>Calibration basis</x:v>
      </x:c>
      <x:c r="E5" s="77" t="str">
        <x:v>Fixed rule limit</x:v>
      </x:c>
      <x:c r="F5" s="77" t="str">
        <x:v>Amber from</x:v>
      </x:c>
      <x:c r="G5" s="77" t="str">
        <x:v>Red fields</x:v>
      </x:c>
      <x:c r="H5" s="77" t="str">
        <x:v>Amber fields</x:v>
      </x:c>
    </x:row>
    <x:row r="6" ht="31" customHeight="1">
      <x:c r="A6" s="79" t="str">
        <x:v>Boons</x:v>
      </x:c>
      <x:c r="B6" s="79" t="str">
        <x:v>Card name</x:v>
      </x:c>
      <x:c r="C6" s="79" t="str">
        <x:v>Boons!B5:B34</x:v>
      </x:c>
      <x:c r="D6" s="79" t="str">
        <x:v>Two-line title box</x:v>
      </x:c>
      <x:c r="E6" s="83" t="n">
        <x:v>24</x:v>
      </x:c>
      <x:c r="F6" s="85" t="n">
        <x:f>ROUND(E6*0.9,0)</x:f>
        <x:v>22</x:v>
      </x:c>
      <x:c r="G6" s="85" t="n">
        <x:f>IF(LEN('Boons'!B5)&gt;24,1,0)+IF(LEN('Boons'!B6)&gt;24,1,0)+IF(LEN('Boons'!B7)&gt;24,1,0)+IF(LEN('Boons'!B8)&gt;24,1,0)+IF(LEN('Boons'!B9)&gt;24,1,0)+IF(LEN('Boons'!B10)&gt;24,1,0)+IF(LEN('Boons'!B11)&gt;24,1,0)+IF(LEN('Boons'!B12)&gt;24,1,0)+IF(LEN('Boons'!B13)&gt;24,1,0)+IF(LEN('Boons'!B14)&gt;24,1,0)+IF(LEN('Boons'!B15)&gt;24,1,0)+IF(LEN('Boons'!B16)&gt;24,1,0)+IF(LEN('Boons'!B17)&gt;24,1,0)+IF(LEN('Boons'!B18)&gt;24,1,0)+IF(LEN('Boons'!B19)&gt;24,1,0)+IF(LEN('Boons'!B20)&gt;24,1,0)+IF(LEN('Boons'!B21)&gt;24,1,0)+IF(LEN('Boons'!B22)&gt;24,1,0)+IF(LEN('Boons'!B23)&gt;24,1,0)+IF(LEN('Boons'!B24)&gt;24,1,0)+IF(LEN('Boons'!B25)&gt;24,1,0)+IF(LEN('Boons'!B26)&gt;24,1,0)+IF(LEN('Boons'!B27)&gt;24,1,0)+IF(LEN('Boons'!B28)&gt;24,1,0)+IF(LEN('Boons'!B29)&gt;24,1,0)+IF(LEN('Boons'!B30)&gt;24,1,0)+IF(LEN('Boons'!B31)&gt;24,1,0)+IF(LEN('Boons'!B32)&gt;24,1,0)+IF(LEN('Boons'!B33)&gt;24,1,0)+IF(LEN('Boons'!B34)&gt;24,1,0)</x:f>
        <x:v>0</x:v>
      </x:c>
      <x:c r="H6" s="85" t="n">
        <x:f>IF(AND(LEN('Boons'!B5)&gt;=22,LEN('Boons'!B5)&lt;=24),1,0)+IF(AND(LEN('Boons'!B6)&gt;=22,LEN('Boons'!B6)&lt;=24),1,0)+IF(AND(LEN('Boons'!B7)&gt;=22,LEN('Boons'!B7)&lt;=24),1,0)+IF(AND(LEN('Boons'!B8)&gt;=22,LEN('Boons'!B8)&lt;=24),1,0)+IF(AND(LEN('Boons'!B9)&gt;=22,LEN('Boons'!B9)&lt;=24),1,0)+IF(AND(LEN('Boons'!B10)&gt;=22,LEN('Boons'!B10)&lt;=24),1,0)+IF(AND(LEN('Boons'!B11)&gt;=22,LEN('Boons'!B11)&lt;=24),1,0)+IF(AND(LEN('Boons'!B12)&gt;=22,LEN('Boons'!B12)&lt;=24),1,0)+IF(AND(LEN('Boons'!B13)&gt;=22,LEN('Boons'!B13)&lt;=24),1,0)+IF(AND(LEN('Boons'!B14)&gt;=22,LEN('Boons'!B14)&lt;=24),1,0)+IF(AND(LEN('Boons'!B15)&gt;=22,LEN('Boons'!B15)&lt;=24),1,0)+IF(AND(LEN('Boons'!B16)&gt;=22,LEN('Boons'!B16)&lt;=24),1,0)+IF(AND(LEN('Boons'!B17)&gt;=22,LEN('Boons'!B17)&lt;=24),1,0)+IF(AND(LEN('Boons'!B18)&gt;=22,LEN('Boons'!B18)&lt;=24),1,0)+IF(AND(LEN('Boons'!B19)&gt;=22,LEN('Boons'!B19)&lt;=24),1,0)+IF(AND(LEN('Boons'!B20)&gt;=22,LEN('Boons'!B20)&lt;=24),1,0)+IF(AND(LEN('Boons'!B21)&gt;=22,LEN('Boons'!B21)&lt;=24),1,0)+IF(AND(LEN('Boons'!B22)&gt;=22,LEN('Boons'!B22)&lt;=24),1,0)+IF(AND(LEN('Boons'!B23)&gt;=22,LEN('Boons'!B23)&lt;=24),1,0)+IF(AND(LEN('Boons'!B24)&gt;=22,LEN('Boons'!B24)&lt;=24),1,0)+IF(AND(LEN('Boons'!B25)&gt;=22,LEN('Boons'!B25)&lt;=24),1,0)+IF(AND(LEN('Boons'!B26)&gt;=22,LEN('Boons'!B26)&lt;=24),1,0)+IF(AND(LEN('Boons'!B27)&gt;=22,LEN('Boons'!B27)&lt;=24),1,0)+IF(AND(LEN('Boons'!B28)&gt;=22,LEN('Boons'!B28)&lt;=24),1,0)+IF(AND(LEN('Boons'!B29)&gt;=22,LEN('Boons'!B29)&lt;=24),1,0)+IF(AND(LEN('Boons'!B30)&gt;=22,LEN('Boons'!B30)&lt;=24),1,0)+IF(AND(LEN('Boons'!B31)&gt;=22,LEN('Boons'!B31)&lt;=24),1,0)+IF(AND(LEN('Boons'!B32)&gt;=22,LEN('Boons'!B32)&lt;=24),1,0)+IF(AND(LEN('Boons'!B33)&gt;=22,LEN('Boons'!B33)&lt;=24),1,0)+IF(AND(LEN('Boons'!B34)&gt;=22,LEN('Boons'!B34)&lt;=24),1,0)</x:f>
        <x:v>3</x:v>
      </x:c>
    </x:row>
    <x:row r="7" ht="31" customHeight="1">
      <x:c r="A7" s="79" t="str">
        <x:v>Boons</x:v>
      </x:c>
      <x:c r="B7" s="79" t="str">
        <x:v>Flavour text</x:v>
      </x:c>
      <x:c r="C7" s="79" t="str">
        <x:v>Boons!C5:C34</x:v>
      </x:c>
      <x:c r="D7" s="79" t="str">
        <x:v>Four-line native proof area</x:v>
      </x:c>
      <x:c r="E7" s="83" t="n">
        <x:v>190</x:v>
      </x:c>
      <x:c r="F7" s="85" t="n">
        <x:f>ROUND(E7*0.9,0)</x:f>
        <x:v>171</x:v>
      </x:c>
      <x:c r="G7" s="85" t="n">
        <x:f>IF(LEN('Boons'!C5)&gt;190,1,0)+IF(LEN('Boons'!C6)&gt;190,1,0)+IF(LEN('Boons'!C7)&gt;190,1,0)+IF(LEN('Boons'!C8)&gt;190,1,0)+IF(LEN('Boons'!C9)&gt;190,1,0)+IF(LEN('Boons'!C10)&gt;190,1,0)+IF(LEN('Boons'!C11)&gt;190,1,0)+IF(LEN('Boons'!C12)&gt;190,1,0)+IF(LEN('Boons'!C13)&gt;190,1,0)+IF(LEN('Boons'!C14)&gt;190,1,0)+IF(LEN('Boons'!C15)&gt;190,1,0)+IF(LEN('Boons'!C16)&gt;190,1,0)+IF(LEN('Boons'!C17)&gt;190,1,0)+IF(LEN('Boons'!C18)&gt;190,1,0)+IF(LEN('Boons'!C19)&gt;190,1,0)+IF(LEN('Boons'!C20)&gt;190,1,0)+IF(LEN('Boons'!C21)&gt;190,1,0)+IF(LEN('Boons'!C22)&gt;190,1,0)+IF(LEN('Boons'!C23)&gt;190,1,0)+IF(LEN('Boons'!C24)&gt;190,1,0)+IF(LEN('Boons'!C25)&gt;190,1,0)+IF(LEN('Boons'!C26)&gt;190,1,0)+IF(LEN('Boons'!C27)&gt;190,1,0)+IF(LEN('Boons'!C28)&gt;190,1,0)+IF(LEN('Boons'!C29)&gt;190,1,0)+IF(LEN('Boons'!C30)&gt;190,1,0)+IF(LEN('Boons'!C31)&gt;190,1,0)+IF(LEN('Boons'!C32)&gt;190,1,0)+IF(LEN('Boons'!C33)&gt;190,1,0)+IF(LEN('Boons'!C34)&gt;190,1,0)</x:f>
        <x:v>0</x:v>
      </x:c>
      <x:c r="H7" s="85" t="n">
        <x:f>IF(AND(LEN('Boons'!C5)&gt;=171,LEN('Boons'!C5)&lt;=190),1,0)+IF(AND(LEN('Boons'!C6)&gt;=171,LEN('Boons'!C6)&lt;=190),1,0)+IF(AND(LEN('Boons'!C7)&gt;=171,LEN('Boons'!C7)&lt;=190),1,0)+IF(AND(LEN('Boons'!C8)&gt;=171,LEN('Boons'!C8)&lt;=190),1,0)+IF(AND(LEN('Boons'!C9)&gt;=171,LEN('Boons'!C9)&lt;=190),1,0)+IF(AND(LEN('Boons'!C10)&gt;=171,LEN('Boons'!C10)&lt;=190),1,0)+IF(AND(LEN('Boons'!C11)&gt;=171,LEN('Boons'!C11)&lt;=190),1,0)+IF(AND(LEN('Boons'!C12)&gt;=171,LEN('Boons'!C12)&lt;=190),1,0)+IF(AND(LEN('Boons'!C13)&gt;=171,LEN('Boons'!C13)&lt;=190),1,0)+IF(AND(LEN('Boons'!C14)&gt;=171,LEN('Boons'!C14)&lt;=190),1,0)+IF(AND(LEN('Boons'!C15)&gt;=171,LEN('Boons'!C15)&lt;=190),1,0)+IF(AND(LEN('Boons'!C16)&gt;=171,LEN('Boons'!C16)&lt;=190),1,0)+IF(AND(LEN('Boons'!C17)&gt;=171,LEN('Boons'!C17)&lt;=190),1,0)+IF(AND(LEN('Boons'!C18)&gt;=171,LEN('Boons'!C18)&lt;=190),1,0)+IF(AND(LEN('Boons'!C19)&gt;=171,LEN('Boons'!C19)&lt;=190),1,0)+IF(AND(LEN('Boons'!C20)&gt;=171,LEN('Boons'!C20)&lt;=190),1,0)+IF(AND(LEN('Boons'!C21)&gt;=171,LEN('Boons'!C21)&lt;=190),1,0)+IF(AND(LEN('Boons'!C22)&gt;=171,LEN('Boons'!C22)&lt;=190),1,0)+IF(AND(LEN('Boons'!C23)&gt;=171,LEN('Boons'!C23)&lt;=190),1,0)+IF(AND(LEN('Boons'!C24)&gt;=171,LEN('Boons'!C24)&lt;=190),1,0)+IF(AND(LEN('Boons'!C25)&gt;=171,LEN('Boons'!C25)&lt;=190),1,0)+IF(AND(LEN('Boons'!C26)&gt;=171,LEN('Boons'!C26)&lt;=190),1,0)+IF(AND(LEN('Boons'!C27)&gt;=171,LEN('Boons'!C27)&lt;=190),1,0)+IF(AND(LEN('Boons'!C28)&gt;=171,LEN('Boons'!C28)&lt;=190),1,0)+IF(AND(LEN('Boons'!C29)&gt;=171,LEN('Boons'!C29)&lt;=190),1,0)+IF(AND(LEN('Boons'!C30)&gt;=171,LEN('Boons'!C30)&lt;=190),1,0)+IF(AND(LEN('Boons'!C31)&gt;=171,LEN('Boons'!C31)&lt;=190),1,0)+IF(AND(LEN('Boons'!C32)&gt;=171,LEN('Boons'!C32)&lt;=190),1,0)+IF(AND(LEN('Boons'!C33)&gt;=171,LEN('Boons'!C33)&lt;=190),1,0)+IF(AND(LEN('Boons'!C34)&gt;=171,LEN('Boons'!C34)&lt;=190),1,0)</x:f>
        <x:v>6</x:v>
      </x:c>
    </x:row>
    <x:row r="8" ht="31" customHeight="1">
      <x:c r="A8" s="79" t="str">
        <x:v>Boons</x:v>
      </x:c>
      <x:c r="B8" s="79" t="str">
        <x:v>Season effect</x:v>
      </x:c>
      <x:c r="C8" s="79" t="str">
        <x:v>Boons!D5:D34, Boons!F5:F34, Boons!H5:H34</x:v>
      </x:c>
      <x:c r="D8" s="79" t="str">
        <x:v>Three-line season effect box</x:v>
      </x:c>
      <x:c r="E8" s="83" t="n">
        <x:v>110</x:v>
      </x:c>
      <x:c r="F8" s="85" t="n">
        <x:f>ROUND(E8*0.9,0)</x:f>
        <x:v>99</x:v>
      </x:c>
      <x:c r="G8" s="85" t="n">
        <x:f>IF(LEN('Boons'!D5)&gt;110,1,0)+IF(LEN('Boons'!D6)&gt;110,1,0)+IF(LEN('Boons'!D7)&gt;110,1,0)+IF(LEN('Boons'!D8)&gt;110,1,0)+IF(LEN('Boons'!D9)&gt;110,1,0)+IF(LEN('Boons'!D10)&gt;110,1,0)+IF(LEN('Boons'!D11)&gt;110,1,0)+IF(LEN('Boons'!D12)&gt;110,1,0)+IF(LEN('Boons'!D13)&gt;110,1,0)+IF(LEN('Boons'!D14)&gt;110,1,0)+IF(LEN('Boons'!D15)&gt;110,1,0)+IF(LEN('Boons'!D16)&gt;110,1,0)+IF(LEN('Boons'!D17)&gt;110,1,0)+IF(LEN('Boons'!D18)&gt;110,1,0)+IF(LEN('Boons'!D19)&gt;110,1,0)+IF(LEN('Boons'!D20)&gt;110,1,0)+IF(LEN('Boons'!D21)&gt;110,1,0)+IF(LEN('Boons'!D22)&gt;110,1,0)+IF(LEN('Boons'!D23)&gt;110,1,0)+IF(LEN('Boons'!D24)&gt;110,1,0)+IF(LEN('Boons'!D25)&gt;110,1,0)+IF(LEN('Boons'!D26)&gt;110,1,0)+IF(LEN('Boons'!D27)&gt;110,1,0)+IF(LEN('Boons'!D28)&gt;110,1,0)+IF(LEN('Boons'!D29)&gt;110,1,0)+IF(LEN('Boons'!D30)&gt;110,1,0)+IF(LEN('Boons'!D31)&gt;110,1,0)+IF(LEN('Boons'!D32)&gt;110,1,0)+IF(LEN('Boons'!D33)&gt;110,1,0)+IF(LEN('Boons'!D34)&gt;110,1,0)+IF(LEN('Boons'!F5)&gt;110,1,0)+IF(LEN('Boons'!F6)&gt;110,1,0)+IF(LEN('Boons'!F7)&gt;110,1,0)+IF(LEN('Boons'!F8)&gt;110,1,0)+IF(LEN('Boons'!F9)&gt;110,1,0)+IF(LEN('Boons'!F10)&gt;110,1,0)+IF(LEN('Boons'!F11)&gt;110,1,0)+IF(LEN('Boons'!F12)&gt;110,1,0)+IF(LEN('Boons'!F13)&gt;110,1,0)+IF(LEN('Boons'!F14)&gt;110,1,0)+IF(LEN('Boons'!F15)&gt;110,1,0)+IF(LEN('Boons'!F16)&gt;110,1,0)+IF(LEN('Boons'!F17)&gt;110,1,0)+IF(LEN('Boons'!F18)&gt;110,1,0)+IF(LEN('Boons'!F19)&gt;110,1,0)+IF(LEN('Boons'!F20)&gt;110,1,0)+IF(LEN('Boons'!F21)&gt;110,1,0)+IF(LEN('Boons'!F22)&gt;110,1,0)+IF(LEN('Boons'!F23)&gt;110,1,0)+IF(LEN('Boons'!F24)&gt;110,1,0)+IF(LEN('Boons'!F25)&gt;110,1,0)+IF(LEN('Boons'!F26)&gt;110,1,0)+IF(LEN('Boons'!F27)&gt;110,1,0)+IF(LEN('Boons'!F28)&gt;110,1,0)+IF(LEN('Boons'!F29)&gt;110,1,0)+IF(LEN('Boons'!F30)&gt;110,1,0)+IF(LEN('Boons'!F31)&gt;110,1,0)+IF(LEN('Boons'!F32)&gt;110,1,0)+IF(LEN('Boons'!F33)&gt;110,1,0)+IF(LEN('Boons'!F34)&gt;110,1,0)+IF(LEN('Boons'!H5)&gt;110,1,0)+IF(LEN('Boons'!H6)&gt;110,1,0)+IF(LEN('Boons'!H7)&gt;110,1,0)+IF(LEN('Boons'!H8)&gt;110,1,0)+IF(LEN('Boons'!H9)&gt;110,1,0)+IF(LEN('Boons'!H10)&gt;110,1,0)+IF(LEN('Boons'!H11)&gt;110,1,0)+IF(LEN('Boons'!H12)&gt;110,1,0)+IF(LEN('Boons'!H13)&gt;110,1,0)+IF(LEN('Boons'!H14)&gt;110,1,0)+IF(LEN('Boons'!H15)&gt;110,1,0)+IF(LEN('Boons'!H16)&gt;110,1,0)+IF(LEN('Boons'!H17)&gt;110,1,0)+IF(LEN('Boons'!H18)&gt;110,1,0)+IF(LEN('Boons'!H19)&gt;110,1,0)+IF(LEN('Boons'!H20)&gt;110,1,0)+IF(LEN('Boons'!H21)&gt;110,1,0)+IF(LEN('Boons'!H22)&gt;110,1,0)+IF(LEN('Boons'!H23)&gt;110,1,0)+IF(LEN('Boons'!H24)&gt;110,1,0)+IF(LEN('Boons'!H25)&gt;110,1,0)+IF(LEN('Boons'!H26)&gt;110,1,0)+IF(LEN('Boons'!H27)&gt;110,1,0)+IF(LEN('Boons'!H28)&gt;110,1,0)+IF(LEN('Boons'!H29)&gt;110,1,0)+IF(LEN('Boons'!H30)&gt;110,1,0)+IF(LEN('Boons'!H31)&gt;110,1,0)+IF(LEN('Boons'!H32)&gt;110,1,0)+IF(LEN('Boons'!H33)&gt;110,1,0)+IF(LEN('Boons'!H34)&gt;110,1,0)</x:f>
        <x:v>0</x:v>
      </x:c>
      <x:c r="H8" s="85" t="n">
        <x:f>IF(AND(LEN('Boons'!D5)&gt;=99,LEN('Boons'!D5)&lt;=110),1,0)+IF(AND(LEN('Boons'!D6)&gt;=99,LEN('Boons'!D6)&lt;=110),1,0)+IF(AND(LEN('Boons'!D7)&gt;=99,LEN('Boons'!D7)&lt;=110),1,0)+IF(AND(LEN('Boons'!D8)&gt;=99,LEN('Boons'!D8)&lt;=110),1,0)+IF(AND(LEN('Boons'!D9)&gt;=99,LEN('Boons'!D9)&lt;=110),1,0)+IF(AND(LEN('Boons'!D10)&gt;=99,LEN('Boons'!D10)&lt;=110),1,0)+IF(AND(LEN('Boons'!D11)&gt;=99,LEN('Boons'!D11)&lt;=110),1,0)+IF(AND(LEN('Boons'!D12)&gt;=99,LEN('Boons'!D12)&lt;=110),1,0)+IF(AND(LEN('Boons'!D13)&gt;=99,LEN('Boons'!D13)&lt;=110),1,0)+IF(AND(LEN('Boons'!D14)&gt;=99,LEN('Boons'!D14)&lt;=110),1,0)+IF(AND(LEN('Boons'!D15)&gt;=99,LEN('Boons'!D15)&lt;=110),1,0)+IF(AND(LEN('Boons'!D16)&gt;=99,LEN('Boons'!D16)&lt;=110),1,0)+IF(AND(LEN('Boons'!D17)&gt;=99,LEN('Boons'!D17)&lt;=110),1,0)+IF(AND(LEN('Boons'!D18)&gt;=99,LEN('Boons'!D18)&lt;=110),1,0)+IF(AND(LEN('Boons'!D19)&gt;=99,LEN('Boons'!D19)&lt;=110),1,0)+IF(AND(LEN('Boons'!D20)&gt;=99,LEN('Boons'!D20)&lt;=110),1,0)+IF(AND(LEN('Boons'!D21)&gt;=99,LEN('Boons'!D21)&lt;=110),1,0)+IF(AND(LEN('Boons'!D22)&gt;=99,LEN('Boons'!D22)&lt;=110),1,0)+IF(AND(LEN('Boons'!D23)&gt;=99,LEN('Boons'!D23)&lt;=110),1,0)+IF(AND(LEN('Boons'!D24)&gt;=99,LEN('Boons'!D24)&lt;=110),1,0)+IF(AND(LEN('Boons'!D25)&gt;=99,LEN('Boons'!D25)&lt;=110),1,0)+IF(AND(LEN('Boons'!D26)&gt;=99,LEN('Boons'!D26)&lt;=110),1,0)+IF(AND(LEN('Boons'!D27)&gt;=99,LEN('Boons'!D27)&lt;=110),1,0)+IF(AND(LEN('Boons'!D28)&gt;=99,LEN('Boons'!D28)&lt;=110),1,0)+IF(AND(LEN('Boons'!D29)&gt;=99,LEN('Boons'!D29)&lt;=110),1,0)+IF(AND(LEN('Boons'!D30)&gt;=99,LEN('Boons'!D30)&lt;=110),1,0)+IF(AND(LEN('Boons'!D31)&gt;=99,LEN('Boons'!D31)&lt;=110),1,0)+IF(AND(LEN('Boons'!D32)&gt;=99,LEN('Boons'!D32)&lt;=110),1,0)+IF(AND(LEN('Boons'!D33)&gt;=99,LEN('Boons'!D33)&lt;=110),1,0)+IF(AND(LEN('Boons'!D34)&gt;=99,LEN('Boons'!D34)&lt;=110),1,0)+IF(AND(LEN('Boons'!F5)&gt;=99,LEN('Boons'!F5)&lt;=110),1,0)+IF(AND(LEN('Boons'!F6)&gt;=99,LEN('Boons'!F6)&lt;=110),1,0)+IF(AND(LEN('Boons'!F7)&gt;=99,LEN('Boons'!F7)&lt;=110),1,0)+IF(AND(LEN('Boons'!F8)&gt;=99,LEN('Boons'!F8)&lt;=110),1,0)+IF(AND(LEN('Boons'!F9)&gt;=99,LEN('Boons'!F9)&lt;=110),1,0)+IF(AND(LEN('Boons'!F10)&gt;=99,LEN('Boons'!F10)&lt;=110),1,0)+IF(AND(LEN('Boons'!F11)&gt;=99,LEN('Boons'!F11)&lt;=110),1,0)+IF(AND(LEN('Boons'!F12)&gt;=99,LEN('Boons'!F12)&lt;=110),1,0)+IF(AND(LEN('Boons'!F13)&gt;=99,LEN('Boons'!F13)&lt;=110),1,0)+IF(AND(LEN('Boons'!F14)&gt;=99,LEN('Boons'!F14)&lt;=110),1,0)+IF(AND(LEN('Boons'!F15)&gt;=99,LEN('Boons'!F15)&lt;=110),1,0)+IF(AND(LEN('Boons'!F16)&gt;=99,LEN('Boons'!F16)&lt;=110),1,0)+IF(AND(LEN('Boons'!F17)&gt;=99,LEN('Boons'!F17)&lt;=110),1,0)+IF(AND(LEN('Boons'!F18)&gt;=99,LEN('Boons'!F18)&lt;=110),1,0)+IF(AND(LEN('Boons'!F19)&gt;=99,LEN('Boons'!F19)&lt;=110),1,0)+IF(AND(LEN('Boons'!F20)&gt;=99,LEN('Boons'!F20)&lt;=110),1,0)+IF(AND(LEN('Boons'!F21)&gt;=99,LEN('Boons'!F21)&lt;=110),1,0)+IF(AND(LEN('Boons'!F22)&gt;=99,LEN('Boons'!F22)&lt;=110),1,0)+IF(AND(LEN('Boons'!F23)&gt;=99,LEN('Boons'!F23)&lt;=110),1,0)+IF(AND(LEN('Boons'!F24)&gt;=99,LEN('Boons'!F24)&lt;=110),1,0)+IF(AND(LEN('Boons'!F25)&gt;=99,LEN('Boons'!F25)&lt;=110),1,0)+IF(AND(LEN('Boons'!F26)&gt;=99,LEN('Boons'!F26)&lt;=110),1,0)+IF(AND(LEN('Boons'!F27)&gt;=99,LEN('Boons'!F27)&lt;=110),1,0)+IF(AND(LEN('Boons'!F28)&gt;=99,LEN('Boons'!F28)&lt;=110),1,0)+IF(AND(LEN('Boons'!F29)&gt;=99,LEN('Boons'!F29)&lt;=110),1,0)+IF(AND(LEN('Boons'!F30)&gt;=99,LEN('Boons'!F30)&lt;=110),1,0)+IF(AND(LEN('Boons'!F31)&gt;=99,LEN('Boons'!F31)&lt;=110),1,0)+IF(AND(LEN('Boons'!F32)&gt;=99,LEN('Boons'!F32)&lt;=110),1,0)+IF(AND(LEN('Boons'!F33)&gt;=99,LEN('Boons'!F33)&lt;=110),1,0)+IF(AND(LEN('Boons'!F34)&gt;=99,LEN('Boons'!F34)&lt;=110),1,0)+IF(AND(LEN('Boons'!H5)&gt;=99,LEN('Boons'!H5)&lt;=110),1,0)+IF(AND(LEN('Boons'!H6)&gt;=99,LEN('Boons'!H6)&lt;=110),1,0)+IF(AND(LEN('Boons'!H7)&gt;=99,LEN('Boons'!H7)&lt;=110),1,0)+IF(AND(LEN('Boons'!H8)&gt;=99,LEN('Boons'!H8)&lt;=110),1,0)+IF(AND(LEN('Boons'!H9)&gt;=99,LEN('Boons'!H9)&lt;=110),1,0)+IF(AND(LEN('Boons'!H10)&gt;=99,LEN('Boons'!H10)&lt;=110),1,0)+IF(AND(LEN('Boons'!H11)&gt;=99,LEN('Boons'!H11)&lt;=110),1,0)+IF(AND(LEN('Boons'!H12)&gt;=99,LEN('Boons'!H12)&lt;=110),1,0)+IF(AND(LEN('Boons'!H13)&gt;=99,LEN('Boons'!H13)&lt;=110),1,0)+IF(AND(LEN('Boons'!H14)&gt;=99,LEN('Boons'!H14)&lt;=110),1,0)+IF(AND(LEN('Boons'!H15)&gt;=99,LEN('Boons'!H15)&lt;=110),1,0)+IF(AND(LEN('Boons'!H16)&gt;=99,LEN('Boons'!H16)&lt;=110),1,0)+IF(AND(LEN('Boons'!H17)&gt;=99,LEN('Boons'!H17)&lt;=110),1,0)+IF(AND(LEN('Boons'!H18)&gt;=99,LEN('Boons'!H18)&lt;=110),1,0)+IF(AND(LEN('Boons'!H19)&gt;=99,LEN('Boons'!H19)&lt;=110),1,0)+IF(AND(LEN('Boons'!H20)&gt;=99,LEN('Boons'!H20)&lt;=110),1,0)+IF(AND(LEN('Boons'!H21)&gt;=99,LEN('Boons'!H21)&lt;=110),1,0)+IF(AND(LEN('Boons'!H22)&gt;=99,LEN('Boons'!H22)&lt;=110),1,0)+IF(AND(LEN('Boons'!H23)&gt;=99,LEN('Boons'!H23)&lt;=110),1,0)+IF(AND(LEN('Boons'!H24)&gt;=99,LEN('Boons'!H24)&lt;=110),1,0)+IF(AND(LEN('Boons'!H25)&gt;=99,LEN('Boons'!H25)&lt;=110),1,0)+IF(AND(LEN('Boons'!H26)&gt;=99,LEN('Boons'!H26)&lt;=110),1,0)+IF(AND(LEN('Boons'!H27)&gt;=99,LEN('Boons'!H27)&lt;=110),1,0)+IF(AND(LEN('Boons'!H28)&gt;=99,LEN('Boons'!H28)&lt;=110),1,0)+IF(AND(LEN('Boons'!H29)&gt;=99,LEN('Boons'!H29)&lt;=110),1,0)+IF(AND(LEN('Boons'!H30)&gt;=99,LEN('Boons'!H30)&lt;=110),1,0)+IF(AND(LEN('Boons'!H31)&gt;=99,LEN('Boons'!H31)&lt;=110),1,0)+IF(AND(LEN('Boons'!H32)&gt;=99,LEN('Boons'!H32)&lt;=110),1,0)+IF(AND(LEN('Boons'!H33)&gt;=99,LEN('Boons'!H33)&lt;=110),1,0)+IF(AND(LEN('Boons'!H34)&gt;=99,LEN('Boons'!H34)&lt;=110),1,0)</x:f>
        <x:v>12</x:v>
      </x:c>
    </x:row>
    <x:row r="9" ht="31" customHeight="1">
      <x:c r="A9" s="79" t="str">
        <x:v>Boons</x:v>
      </x:c>
      <x:c r="B9" s="79" t="str">
        <x:v>Lifecycle</x:v>
      </x:c>
      <x:c r="C9" s="79" t="str">
        <x:v>Boons!E5:E34, Boons!G5:G34, Boons!I5:I34</x:v>
      </x:c>
      <x:c r="D9" s="79" t="str">
        <x:v>Two-line lifecycle box</x:v>
      </x:c>
      <x:c r="E9" s="83" t="n">
        <x:v>65</x:v>
      </x:c>
      <x:c r="F9" s="85" t="n">
        <x:f>ROUND(E9*0.9,0)</x:f>
        <x:v>59</x:v>
      </x:c>
      <x:c r="G9" s="85" t="n">
        <x:f>IF(LEN('Boons'!E5)&gt;65,1,0)+IF(LEN('Boons'!E6)&gt;65,1,0)+IF(LEN('Boons'!E7)&gt;65,1,0)+IF(LEN('Boons'!E8)&gt;65,1,0)+IF(LEN('Boons'!E9)&gt;65,1,0)+IF(LEN('Boons'!E10)&gt;65,1,0)+IF(LEN('Boons'!E11)&gt;65,1,0)+IF(LEN('Boons'!E12)&gt;65,1,0)+IF(LEN('Boons'!E13)&gt;65,1,0)+IF(LEN('Boons'!E14)&gt;65,1,0)+IF(LEN('Boons'!E15)&gt;65,1,0)+IF(LEN('Boons'!E16)&gt;65,1,0)+IF(LEN('Boons'!E17)&gt;65,1,0)+IF(LEN('Boons'!E18)&gt;65,1,0)+IF(LEN('Boons'!E19)&gt;65,1,0)+IF(LEN('Boons'!E20)&gt;65,1,0)+IF(LEN('Boons'!E21)&gt;65,1,0)+IF(LEN('Boons'!E22)&gt;65,1,0)+IF(LEN('Boons'!E23)&gt;65,1,0)+IF(LEN('Boons'!E24)&gt;65,1,0)+IF(LEN('Boons'!E25)&gt;65,1,0)+IF(LEN('Boons'!E26)&gt;65,1,0)+IF(LEN('Boons'!E27)&gt;65,1,0)+IF(LEN('Boons'!E28)&gt;65,1,0)+IF(LEN('Boons'!E29)&gt;65,1,0)+IF(LEN('Boons'!E30)&gt;65,1,0)+IF(LEN('Boons'!E31)&gt;65,1,0)+IF(LEN('Boons'!E32)&gt;65,1,0)+IF(LEN('Boons'!E33)&gt;65,1,0)+IF(LEN('Boons'!E34)&gt;65,1,0)+IF(LEN('Boons'!G5)&gt;65,1,0)+IF(LEN('Boons'!G6)&gt;65,1,0)+IF(LEN('Boons'!G7)&gt;65,1,0)+IF(LEN('Boons'!G8)&gt;65,1,0)+IF(LEN('Boons'!G9)&gt;65,1,0)+IF(LEN('Boons'!G10)&gt;65,1,0)+IF(LEN('Boons'!G11)&gt;65,1,0)+IF(LEN('Boons'!G12)&gt;65,1,0)+IF(LEN('Boons'!G13)&gt;65,1,0)+IF(LEN('Boons'!G14)&gt;65,1,0)+IF(LEN('Boons'!G15)&gt;65,1,0)+IF(LEN('Boons'!G16)&gt;65,1,0)+IF(LEN('Boons'!G17)&gt;65,1,0)+IF(LEN('Boons'!G18)&gt;65,1,0)+IF(LEN('Boons'!G19)&gt;65,1,0)+IF(LEN('Boons'!G20)&gt;65,1,0)+IF(LEN('Boons'!G21)&gt;65,1,0)+IF(LEN('Boons'!G22)&gt;65,1,0)+IF(LEN('Boons'!G23)&gt;65,1,0)+IF(LEN('Boons'!G24)&gt;65,1,0)+IF(LEN('Boons'!G25)&gt;65,1,0)+IF(LEN('Boons'!G26)&gt;65,1,0)+IF(LEN('Boons'!G27)&gt;65,1,0)+IF(LEN('Boons'!G28)&gt;65,1,0)+IF(LEN('Boons'!G29)&gt;65,1,0)+IF(LEN('Boons'!G30)&gt;65,1,0)+IF(LEN('Boons'!G31)&gt;65,1,0)+IF(LEN('Boons'!G32)&gt;65,1,0)+IF(LEN('Boons'!G33)&gt;65,1,0)+IF(LEN('Boons'!G34)&gt;65,1,0)+IF(LEN('Boons'!I5)&gt;65,1,0)+IF(LEN('Boons'!I6)&gt;65,1,0)+IF(LEN('Boons'!I7)&gt;65,1,0)+IF(LEN('Boons'!I8)&gt;65,1,0)+IF(LEN('Boons'!I9)&gt;65,1,0)+IF(LEN('Boons'!I10)&gt;65,1,0)+IF(LEN('Boons'!I11)&gt;65,1,0)+IF(LEN('Boons'!I12)&gt;65,1,0)+IF(LEN('Boons'!I13)&gt;65,1,0)+IF(LEN('Boons'!I14)&gt;65,1,0)+IF(LEN('Boons'!I15)&gt;65,1,0)+IF(LEN('Boons'!I16)&gt;65,1,0)+IF(LEN('Boons'!I17)&gt;65,1,0)+IF(LEN('Boons'!I18)&gt;65,1,0)+IF(LEN('Boons'!I19)&gt;65,1,0)+IF(LEN('Boons'!I20)&gt;65,1,0)+IF(LEN('Boons'!I21)&gt;65,1,0)+IF(LEN('Boons'!I22)&gt;65,1,0)+IF(LEN('Boons'!I23)&gt;65,1,0)+IF(LEN('Boons'!I24)&gt;65,1,0)+IF(LEN('Boons'!I25)&gt;65,1,0)+IF(LEN('Boons'!I26)&gt;65,1,0)+IF(LEN('Boons'!I27)&gt;65,1,0)+IF(LEN('Boons'!I28)&gt;65,1,0)+IF(LEN('Boons'!I29)&gt;65,1,0)+IF(LEN('Boons'!I30)&gt;65,1,0)+IF(LEN('Boons'!I31)&gt;65,1,0)+IF(LEN('Boons'!I32)&gt;65,1,0)+IF(LEN('Boons'!I33)&gt;65,1,0)+IF(LEN('Boons'!I34)&gt;65,1,0)</x:f>
        <x:v>0</x:v>
      </x:c>
      <x:c r="H9" s="85" t="n">
        <x:f>IF(AND(LEN('Boons'!E5)&gt;=59,LEN('Boons'!E5)&lt;=65),1,0)+IF(AND(LEN('Boons'!E6)&gt;=59,LEN('Boons'!E6)&lt;=65),1,0)+IF(AND(LEN('Boons'!E7)&gt;=59,LEN('Boons'!E7)&lt;=65),1,0)+IF(AND(LEN('Boons'!E8)&gt;=59,LEN('Boons'!E8)&lt;=65),1,0)+IF(AND(LEN('Boons'!E9)&gt;=59,LEN('Boons'!E9)&lt;=65),1,0)+IF(AND(LEN('Boons'!E10)&gt;=59,LEN('Boons'!E10)&lt;=65),1,0)+IF(AND(LEN('Boons'!E11)&gt;=59,LEN('Boons'!E11)&lt;=65),1,0)+IF(AND(LEN('Boons'!E12)&gt;=59,LEN('Boons'!E12)&lt;=65),1,0)+IF(AND(LEN('Boons'!E13)&gt;=59,LEN('Boons'!E13)&lt;=65),1,0)+IF(AND(LEN('Boons'!E14)&gt;=59,LEN('Boons'!E14)&lt;=65),1,0)+IF(AND(LEN('Boons'!E15)&gt;=59,LEN('Boons'!E15)&lt;=65),1,0)+IF(AND(LEN('Boons'!E16)&gt;=59,LEN('Boons'!E16)&lt;=65),1,0)+IF(AND(LEN('Boons'!E17)&gt;=59,LEN('Boons'!E17)&lt;=65),1,0)+IF(AND(LEN('Boons'!E18)&gt;=59,LEN('Boons'!E18)&lt;=65),1,0)+IF(AND(LEN('Boons'!E19)&gt;=59,LEN('Boons'!E19)&lt;=65),1,0)+IF(AND(LEN('Boons'!E20)&gt;=59,LEN('Boons'!E20)&lt;=65),1,0)+IF(AND(LEN('Boons'!E21)&gt;=59,LEN('Boons'!E21)&lt;=65),1,0)+IF(AND(LEN('Boons'!E22)&gt;=59,LEN('Boons'!E22)&lt;=65),1,0)+IF(AND(LEN('Boons'!E23)&gt;=59,LEN('Boons'!E23)&lt;=65),1,0)+IF(AND(LEN('Boons'!E24)&gt;=59,LEN('Boons'!E24)&lt;=65),1,0)+IF(AND(LEN('Boons'!E25)&gt;=59,LEN('Boons'!E25)&lt;=65),1,0)+IF(AND(LEN('Boons'!E26)&gt;=59,LEN('Boons'!E26)&lt;=65),1,0)+IF(AND(LEN('Boons'!E27)&gt;=59,LEN('Boons'!E27)&lt;=65),1,0)+IF(AND(LEN('Boons'!E28)&gt;=59,LEN('Boons'!E28)&lt;=65),1,0)+IF(AND(LEN('Boons'!E29)&gt;=59,LEN('Boons'!E29)&lt;=65),1,0)+IF(AND(LEN('Boons'!E30)&gt;=59,LEN('Boons'!E30)&lt;=65),1,0)+IF(AND(LEN('Boons'!E31)&gt;=59,LEN('Boons'!E31)&lt;=65),1,0)+IF(AND(LEN('Boons'!E32)&gt;=59,LEN('Boons'!E32)&lt;=65),1,0)+IF(AND(LEN('Boons'!E33)&gt;=59,LEN('Boons'!E33)&lt;=65),1,0)+IF(AND(LEN('Boons'!E34)&gt;=59,LEN('Boons'!E34)&lt;=65),1,0)+IF(AND(LEN('Boons'!G5)&gt;=59,LEN('Boons'!G5)&lt;=65),1,0)+IF(AND(LEN('Boons'!G6)&gt;=59,LEN('Boons'!G6)&lt;=65),1,0)+IF(AND(LEN('Boons'!G7)&gt;=59,LEN('Boons'!G7)&lt;=65),1,0)+IF(AND(LEN('Boons'!G8)&gt;=59,LEN('Boons'!G8)&lt;=65),1,0)+IF(AND(LEN('Boons'!G9)&gt;=59,LEN('Boons'!G9)&lt;=65),1,0)+IF(AND(LEN('Boons'!G10)&gt;=59,LEN('Boons'!G10)&lt;=65),1,0)+IF(AND(LEN('Boons'!G11)&gt;=59,LEN('Boons'!G11)&lt;=65),1,0)+IF(AND(LEN('Boons'!G12)&gt;=59,LEN('Boons'!G12)&lt;=65),1,0)+IF(AND(LEN('Boons'!G13)&gt;=59,LEN('Boons'!G13)&lt;=65),1,0)+IF(AND(LEN('Boons'!G14)&gt;=59,LEN('Boons'!G14)&lt;=65),1,0)+IF(AND(LEN('Boons'!G15)&gt;=59,LEN('Boons'!G15)&lt;=65),1,0)+IF(AND(LEN('Boons'!G16)&gt;=59,LEN('Boons'!G16)&lt;=65),1,0)+IF(AND(LEN('Boons'!G17)&gt;=59,LEN('Boons'!G17)&lt;=65),1,0)+IF(AND(LEN('Boons'!G18)&gt;=59,LEN('Boons'!G18)&lt;=65),1,0)+IF(AND(LEN('Boons'!G19)&gt;=59,LEN('Boons'!G19)&lt;=65),1,0)+IF(AND(LEN('Boons'!G20)&gt;=59,LEN('Boons'!G20)&lt;=65),1,0)+IF(AND(LEN('Boons'!G21)&gt;=59,LEN('Boons'!G21)&lt;=65),1,0)+IF(AND(LEN('Boons'!G22)&gt;=59,LEN('Boons'!G22)&lt;=65),1,0)+IF(AND(LEN('Boons'!G23)&gt;=59,LEN('Boons'!G23)&lt;=65),1,0)+IF(AND(LEN('Boons'!G24)&gt;=59,LEN('Boons'!G24)&lt;=65),1,0)+IF(AND(LEN('Boons'!G25)&gt;=59,LEN('Boons'!G25)&lt;=65),1,0)+IF(AND(LEN('Boons'!G26)&gt;=59,LEN('Boons'!G26)&lt;=65),1,0)+IF(AND(LEN('Boons'!G27)&gt;=59,LEN('Boons'!G27)&lt;=65),1,0)+IF(AND(LEN('Boons'!G28)&gt;=59,LEN('Boons'!G28)&lt;=65),1,0)+IF(AND(LEN('Boons'!G29)&gt;=59,LEN('Boons'!G29)&lt;=65),1,0)+IF(AND(LEN('Boons'!G30)&gt;=59,LEN('Boons'!G30)&lt;=65),1,0)+IF(AND(LEN('Boons'!G31)&gt;=59,LEN('Boons'!G31)&lt;=65),1,0)+IF(AND(LEN('Boons'!G32)&gt;=59,LEN('Boons'!G32)&lt;=65),1,0)+IF(AND(LEN('Boons'!G33)&gt;=59,LEN('Boons'!G33)&lt;=65),1,0)+IF(AND(LEN('Boons'!G34)&gt;=59,LEN('Boons'!G34)&lt;=65),1,0)+IF(AND(LEN('Boons'!I5)&gt;=59,LEN('Boons'!I5)&lt;=65),1,0)+IF(AND(LEN('Boons'!I6)&gt;=59,LEN('Boons'!I6)&lt;=65),1,0)+IF(AND(LEN('Boons'!I7)&gt;=59,LEN('Boons'!I7)&lt;=65),1,0)+IF(AND(LEN('Boons'!I8)&gt;=59,LEN('Boons'!I8)&lt;=65),1,0)+IF(AND(LEN('Boons'!I9)&gt;=59,LEN('Boons'!I9)&lt;=65),1,0)+IF(AND(LEN('Boons'!I10)&gt;=59,LEN('Boons'!I10)&lt;=65),1,0)+IF(AND(LEN('Boons'!I11)&gt;=59,LEN('Boons'!I11)&lt;=65),1,0)+IF(AND(LEN('Boons'!I12)&gt;=59,LEN('Boons'!I12)&lt;=65),1,0)+IF(AND(LEN('Boons'!I13)&gt;=59,LEN('Boons'!I13)&lt;=65),1,0)+IF(AND(LEN('Boons'!I14)&gt;=59,LEN('Boons'!I14)&lt;=65),1,0)+IF(AND(LEN('Boons'!I15)&gt;=59,LEN('Boons'!I15)&lt;=65),1,0)+IF(AND(LEN('Boons'!I16)&gt;=59,LEN('Boons'!I16)&lt;=65),1,0)+IF(AND(LEN('Boons'!I17)&gt;=59,LEN('Boons'!I17)&lt;=65),1,0)+IF(AND(LEN('Boons'!I18)&gt;=59,LEN('Boons'!I18)&lt;=65),1,0)+IF(AND(LEN('Boons'!I19)&gt;=59,LEN('Boons'!I19)&lt;=65),1,0)+IF(AND(LEN('Boons'!I20)&gt;=59,LEN('Boons'!I20)&lt;=65),1,0)+IF(AND(LEN('Boons'!I21)&gt;=59,LEN('Boons'!I21)&lt;=65),1,0)+IF(AND(LEN('Boons'!I22)&gt;=59,LEN('Boons'!I22)&lt;=65),1,0)+IF(AND(LEN('Boons'!I23)&gt;=59,LEN('Boons'!I23)&lt;=65),1,0)+IF(AND(LEN('Boons'!I24)&gt;=59,LEN('Boons'!I24)&lt;=65),1,0)+IF(AND(LEN('Boons'!I25)&gt;=59,LEN('Boons'!I25)&lt;=65),1,0)+IF(AND(LEN('Boons'!I26)&gt;=59,LEN('Boons'!I26)&lt;=65),1,0)+IF(AND(LEN('Boons'!I27)&gt;=59,LEN('Boons'!I27)&lt;=65),1,0)+IF(AND(LEN('Boons'!I28)&gt;=59,LEN('Boons'!I28)&lt;=65),1,0)+IF(AND(LEN('Boons'!I29)&gt;=59,LEN('Boons'!I29)&lt;=65),1,0)+IF(AND(LEN('Boons'!I30)&gt;=59,LEN('Boons'!I30)&lt;=65),1,0)+IF(AND(LEN('Boons'!I31)&gt;=59,LEN('Boons'!I31)&lt;=65),1,0)+IF(AND(LEN('Boons'!I32)&gt;=59,LEN('Boons'!I32)&lt;=65),1,0)+IF(AND(LEN('Boons'!I33)&gt;=59,LEN('Boons'!I33)&lt;=65),1,0)+IF(AND(LEN('Boons'!I34)&gt;=59,LEN('Boons'!I34)&lt;=65),1,0)</x:f>
        <x:v>0</x:v>
      </x:c>
    </x:row>
    <x:row r="10" ht="31" customHeight="1">
      <x:c r="A10" s="79" t="str">
        <x:v>Burdens</x:v>
      </x:c>
      <x:c r="B10" s="79" t="str">
        <x:v>Card name</x:v>
      </x:c>
      <x:c r="C10" s="79" t="str">
        <x:v>Burdens!B5:B34</x:v>
      </x:c>
      <x:c r="D10" s="79" t="str">
        <x:v>Two-line title box</x:v>
      </x:c>
      <x:c r="E10" s="83" t="n">
        <x:v>24</x:v>
      </x:c>
      <x:c r="F10" s="85" t="n">
        <x:f>ROUND(E10*0.9,0)</x:f>
        <x:v>22</x:v>
      </x:c>
      <x:c r="G10" s="85" t="n">
        <x:f>IF(LEN('Burdens'!B5)&gt;24,1,0)+IF(LEN('Burdens'!B6)&gt;24,1,0)+IF(LEN('Burdens'!B7)&gt;24,1,0)+IF(LEN('Burdens'!B8)&gt;24,1,0)+IF(LEN('Burdens'!B9)&gt;24,1,0)+IF(LEN('Burdens'!B10)&gt;24,1,0)+IF(LEN('Burdens'!B11)&gt;24,1,0)+IF(LEN('Burdens'!B12)&gt;24,1,0)+IF(LEN('Burdens'!B13)&gt;24,1,0)+IF(LEN('Burdens'!B14)&gt;24,1,0)+IF(LEN('Burdens'!B15)&gt;24,1,0)+IF(LEN('Burdens'!B16)&gt;24,1,0)+IF(LEN('Burdens'!B17)&gt;24,1,0)+IF(LEN('Burdens'!B18)&gt;24,1,0)+IF(LEN('Burdens'!B19)&gt;24,1,0)+IF(LEN('Burdens'!B20)&gt;24,1,0)+IF(LEN('Burdens'!B21)&gt;24,1,0)+IF(LEN('Burdens'!B22)&gt;24,1,0)+IF(LEN('Burdens'!B23)&gt;24,1,0)+IF(LEN('Burdens'!B24)&gt;24,1,0)+IF(LEN('Burdens'!B25)&gt;24,1,0)+IF(LEN('Burdens'!B26)&gt;24,1,0)+IF(LEN('Burdens'!B27)&gt;24,1,0)+IF(LEN('Burdens'!B28)&gt;24,1,0)+IF(LEN('Burdens'!B29)&gt;24,1,0)+IF(LEN('Burdens'!B30)&gt;24,1,0)+IF(LEN('Burdens'!B31)&gt;24,1,0)+IF(LEN('Burdens'!B32)&gt;24,1,0)+IF(LEN('Burdens'!B33)&gt;24,1,0)+IF(LEN('Burdens'!B34)&gt;24,1,0)</x:f>
        <x:v>0</x:v>
      </x:c>
      <x:c r="H10" s="85" t="n">
        <x:f>IF(AND(LEN('Burdens'!B5)&gt;=22,LEN('Burdens'!B5)&lt;=24),1,0)+IF(AND(LEN('Burdens'!B6)&gt;=22,LEN('Burdens'!B6)&lt;=24),1,0)+IF(AND(LEN('Burdens'!B7)&gt;=22,LEN('Burdens'!B7)&lt;=24),1,0)+IF(AND(LEN('Burdens'!B8)&gt;=22,LEN('Burdens'!B8)&lt;=24),1,0)+IF(AND(LEN('Burdens'!B9)&gt;=22,LEN('Burdens'!B9)&lt;=24),1,0)+IF(AND(LEN('Burdens'!B10)&gt;=22,LEN('Burdens'!B10)&lt;=24),1,0)+IF(AND(LEN('Burdens'!B11)&gt;=22,LEN('Burdens'!B11)&lt;=24),1,0)+IF(AND(LEN('Burdens'!B12)&gt;=22,LEN('Burdens'!B12)&lt;=24),1,0)+IF(AND(LEN('Burdens'!B13)&gt;=22,LEN('Burdens'!B13)&lt;=24),1,0)+IF(AND(LEN('Burdens'!B14)&gt;=22,LEN('Burdens'!B14)&lt;=24),1,0)+IF(AND(LEN('Burdens'!B15)&gt;=22,LEN('Burdens'!B15)&lt;=24),1,0)+IF(AND(LEN('Burdens'!B16)&gt;=22,LEN('Burdens'!B16)&lt;=24),1,0)+IF(AND(LEN('Burdens'!B17)&gt;=22,LEN('Burdens'!B17)&lt;=24),1,0)+IF(AND(LEN('Burdens'!B18)&gt;=22,LEN('Burdens'!B18)&lt;=24),1,0)+IF(AND(LEN('Burdens'!B19)&gt;=22,LEN('Burdens'!B19)&lt;=24),1,0)+IF(AND(LEN('Burdens'!B20)&gt;=22,LEN('Burdens'!B20)&lt;=24),1,0)+IF(AND(LEN('Burdens'!B21)&gt;=22,LEN('Burdens'!B21)&lt;=24),1,0)+IF(AND(LEN('Burdens'!B22)&gt;=22,LEN('Burdens'!B22)&lt;=24),1,0)+IF(AND(LEN('Burdens'!B23)&gt;=22,LEN('Burdens'!B23)&lt;=24),1,0)+IF(AND(LEN('Burdens'!B24)&gt;=22,LEN('Burdens'!B24)&lt;=24),1,0)+IF(AND(LEN('Burdens'!B25)&gt;=22,LEN('Burdens'!B25)&lt;=24),1,0)+IF(AND(LEN('Burdens'!B26)&gt;=22,LEN('Burdens'!B26)&lt;=24),1,0)+IF(AND(LEN('Burdens'!B27)&gt;=22,LEN('Burdens'!B27)&lt;=24),1,0)+IF(AND(LEN('Burdens'!B28)&gt;=22,LEN('Burdens'!B28)&lt;=24),1,0)+IF(AND(LEN('Burdens'!B29)&gt;=22,LEN('Burdens'!B29)&lt;=24),1,0)+IF(AND(LEN('Burdens'!B30)&gt;=22,LEN('Burdens'!B30)&lt;=24),1,0)+IF(AND(LEN('Burdens'!B31)&gt;=22,LEN('Burdens'!B31)&lt;=24),1,0)+IF(AND(LEN('Burdens'!B32)&gt;=22,LEN('Burdens'!B32)&lt;=24),1,0)+IF(AND(LEN('Burdens'!B33)&gt;=22,LEN('Burdens'!B33)&lt;=24),1,0)+IF(AND(LEN('Burdens'!B34)&gt;=22,LEN('Burdens'!B34)&lt;=24),1,0)</x:f>
        <x:v>4</x:v>
      </x:c>
    </x:row>
    <x:row r="11" ht="31" customHeight="1">
      <x:c r="A11" s="79" t="str">
        <x:v>Burdens</x:v>
      </x:c>
      <x:c r="B11" s="79" t="str">
        <x:v>Flavour text</x:v>
      </x:c>
      <x:c r="C11" s="79" t="str">
        <x:v>Burdens!C5:C34</x:v>
      </x:c>
      <x:c r="D11" s="79" t="str">
        <x:v>Four-line flavour area</x:v>
      </x:c>
      <x:c r="E11" s="83" t="n">
        <x:v>200</x:v>
      </x:c>
      <x:c r="F11" s="85" t="n">
        <x:f>ROUND(E11*0.9,0)</x:f>
        <x:v>180</x:v>
      </x:c>
      <x:c r="G11" s="85" t="n">
        <x:f>IF(LEN('Burdens'!C5)&gt;200,1,0)+IF(LEN('Burdens'!C6)&gt;200,1,0)+IF(LEN('Burdens'!C7)&gt;200,1,0)+IF(LEN('Burdens'!C8)&gt;200,1,0)+IF(LEN('Burdens'!C9)&gt;200,1,0)+IF(LEN('Burdens'!C10)&gt;200,1,0)+IF(LEN('Burdens'!C11)&gt;200,1,0)+IF(LEN('Burdens'!C12)&gt;200,1,0)+IF(LEN('Burdens'!C13)&gt;200,1,0)+IF(LEN('Burdens'!C14)&gt;200,1,0)+IF(LEN('Burdens'!C15)&gt;200,1,0)+IF(LEN('Burdens'!C16)&gt;200,1,0)+IF(LEN('Burdens'!C17)&gt;200,1,0)+IF(LEN('Burdens'!C18)&gt;200,1,0)+IF(LEN('Burdens'!C19)&gt;200,1,0)+IF(LEN('Burdens'!C20)&gt;200,1,0)+IF(LEN('Burdens'!C21)&gt;200,1,0)+IF(LEN('Burdens'!C22)&gt;200,1,0)+IF(LEN('Burdens'!C23)&gt;200,1,0)+IF(LEN('Burdens'!C24)&gt;200,1,0)+IF(LEN('Burdens'!C25)&gt;200,1,0)+IF(LEN('Burdens'!C26)&gt;200,1,0)+IF(LEN('Burdens'!C27)&gt;200,1,0)+IF(LEN('Burdens'!C28)&gt;200,1,0)+IF(LEN('Burdens'!C29)&gt;200,1,0)+IF(LEN('Burdens'!C30)&gt;200,1,0)+IF(LEN('Burdens'!C31)&gt;200,1,0)+IF(LEN('Burdens'!C32)&gt;200,1,0)+IF(LEN('Burdens'!C33)&gt;200,1,0)+IF(LEN('Burdens'!C34)&gt;200,1,0)</x:f>
        <x:v>0</x:v>
      </x:c>
      <x:c r="H11" s="85" t="n">
        <x:f>IF(AND(LEN('Burdens'!C5)&gt;=180,LEN('Burdens'!C5)&lt;=200),1,0)+IF(AND(LEN('Burdens'!C6)&gt;=180,LEN('Burdens'!C6)&lt;=200),1,0)+IF(AND(LEN('Burdens'!C7)&gt;=180,LEN('Burdens'!C7)&lt;=200),1,0)+IF(AND(LEN('Burdens'!C8)&gt;=180,LEN('Burdens'!C8)&lt;=200),1,0)+IF(AND(LEN('Burdens'!C9)&gt;=180,LEN('Burdens'!C9)&lt;=200),1,0)+IF(AND(LEN('Burdens'!C10)&gt;=180,LEN('Burdens'!C10)&lt;=200),1,0)+IF(AND(LEN('Burdens'!C11)&gt;=180,LEN('Burdens'!C11)&lt;=200),1,0)+IF(AND(LEN('Burdens'!C12)&gt;=180,LEN('Burdens'!C12)&lt;=200),1,0)+IF(AND(LEN('Burdens'!C13)&gt;=180,LEN('Burdens'!C13)&lt;=200),1,0)+IF(AND(LEN('Burdens'!C14)&gt;=180,LEN('Burdens'!C14)&lt;=200),1,0)+IF(AND(LEN('Burdens'!C15)&gt;=180,LEN('Burdens'!C15)&lt;=200),1,0)+IF(AND(LEN('Burdens'!C16)&gt;=180,LEN('Burdens'!C16)&lt;=200),1,0)+IF(AND(LEN('Burdens'!C17)&gt;=180,LEN('Burdens'!C17)&lt;=200),1,0)+IF(AND(LEN('Burdens'!C18)&gt;=180,LEN('Burdens'!C18)&lt;=200),1,0)+IF(AND(LEN('Burdens'!C19)&gt;=180,LEN('Burdens'!C19)&lt;=200),1,0)+IF(AND(LEN('Burdens'!C20)&gt;=180,LEN('Burdens'!C20)&lt;=200),1,0)+IF(AND(LEN('Burdens'!C21)&gt;=180,LEN('Burdens'!C21)&lt;=200),1,0)+IF(AND(LEN('Burdens'!C22)&gt;=180,LEN('Burdens'!C22)&lt;=200),1,0)+IF(AND(LEN('Burdens'!C23)&gt;=180,LEN('Burdens'!C23)&lt;=200),1,0)+IF(AND(LEN('Burdens'!C24)&gt;=180,LEN('Burdens'!C24)&lt;=200),1,0)+IF(AND(LEN('Burdens'!C25)&gt;=180,LEN('Burdens'!C25)&lt;=200),1,0)+IF(AND(LEN('Burdens'!C26)&gt;=180,LEN('Burdens'!C26)&lt;=200),1,0)+IF(AND(LEN('Burdens'!C27)&gt;=180,LEN('Burdens'!C27)&lt;=200),1,0)+IF(AND(LEN('Burdens'!C28)&gt;=180,LEN('Burdens'!C28)&lt;=200),1,0)+IF(AND(LEN('Burdens'!C29)&gt;=180,LEN('Burdens'!C29)&lt;=200),1,0)+IF(AND(LEN('Burdens'!C30)&gt;=180,LEN('Burdens'!C30)&lt;=200),1,0)+IF(AND(LEN('Burdens'!C31)&gt;=180,LEN('Burdens'!C31)&lt;=200),1,0)+IF(AND(LEN('Burdens'!C32)&gt;=180,LEN('Burdens'!C32)&lt;=200),1,0)+IF(AND(LEN('Burdens'!C33)&gt;=180,LEN('Burdens'!C33)&lt;=200),1,0)+IF(AND(LEN('Burdens'!C34)&gt;=180,LEN('Burdens'!C34)&lt;=200),1,0)</x:f>
        <x:v>16</x:v>
      </x:c>
    </x:row>
    <x:row r="12" ht="31" customHeight="1">
      <x:c r="A12" s="79" t="str">
        <x:v>Burdens</x:v>
      </x:c>
      <x:c r="B12" s="79" t="str">
        <x:v>Season effect</x:v>
      </x:c>
      <x:c r="C12" s="79" t="str">
        <x:v>Burdens!D5:D34, Burdens!F5:F34, Burdens!H5:H34</x:v>
      </x:c>
      <x:c r="D12" s="79" t="str">
        <x:v>Three-line season effect box</x:v>
      </x:c>
      <x:c r="E12" s="83" t="n">
        <x:v>110</x:v>
      </x:c>
      <x:c r="F12" s="85" t="n">
        <x:f>ROUND(E12*0.9,0)</x:f>
        <x:v>99</x:v>
      </x:c>
      <x:c r="G12" s="85" t="n">
        <x:f>IF(LEN('Burdens'!D5)&gt;110,1,0)+IF(LEN('Burdens'!D6)&gt;110,1,0)+IF(LEN('Burdens'!D7)&gt;110,1,0)+IF(LEN('Burdens'!D8)&gt;110,1,0)+IF(LEN('Burdens'!D9)&gt;110,1,0)+IF(LEN('Burdens'!D10)&gt;110,1,0)+IF(LEN('Burdens'!D11)&gt;110,1,0)+IF(LEN('Burdens'!D12)&gt;110,1,0)+IF(LEN('Burdens'!D13)&gt;110,1,0)+IF(LEN('Burdens'!D14)&gt;110,1,0)+IF(LEN('Burdens'!D15)&gt;110,1,0)+IF(LEN('Burdens'!D16)&gt;110,1,0)+IF(LEN('Burdens'!D17)&gt;110,1,0)+IF(LEN('Burdens'!D18)&gt;110,1,0)+IF(LEN('Burdens'!D19)&gt;110,1,0)+IF(LEN('Burdens'!D20)&gt;110,1,0)+IF(LEN('Burdens'!D21)&gt;110,1,0)+IF(LEN('Burdens'!D22)&gt;110,1,0)+IF(LEN('Burdens'!D23)&gt;110,1,0)+IF(LEN('Burdens'!D24)&gt;110,1,0)+IF(LEN('Burdens'!D25)&gt;110,1,0)+IF(LEN('Burdens'!D26)&gt;110,1,0)+IF(LEN('Burdens'!D27)&gt;110,1,0)+IF(LEN('Burdens'!D28)&gt;110,1,0)+IF(LEN('Burdens'!D29)&gt;110,1,0)+IF(LEN('Burdens'!D30)&gt;110,1,0)+IF(LEN('Burdens'!D31)&gt;110,1,0)+IF(LEN('Burdens'!D32)&gt;110,1,0)+IF(LEN('Burdens'!D33)&gt;110,1,0)+IF(LEN('Burdens'!D34)&gt;110,1,0)+IF(LEN('Burdens'!F5)&gt;110,1,0)+IF(LEN('Burdens'!F6)&gt;110,1,0)+IF(LEN('Burdens'!F7)&gt;110,1,0)+IF(LEN('Burdens'!F8)&gt;110,1,0)+IF(LEN('Burdens'!F9)&gt;110,1,0)+IF(LEN('Burdens'!F10)&gt;110,1,0)+IF(LEN('Burdens'!F11)&gt;110,1,0)+IF(LEN('Burdens'!F12)&gt;110,1,0)+IF(LEN('Burdens'!F13)&gt;110,1,0)+IF(LEN('Burdens'!F14)&gt;110,1,0)+IF(LEN('Burdens'!F15)&gt;110,1,0)+IF(LEN('Burdens'!F16)&gt;110,1,0)+IF(LEN('Burdens'!F17)&gt;110,1,0)+IF(LEN('Burdens'!F18)&gt;110,1,0)+IF(LEN('Burdens'!F19)&gt;110,1,0)+IF(LEN('Burdens'!F20)&gt;110,1,0)+IF(LEN('Burdens'!F21)&gt;110,1,0)+IF(LEN('Burdens'!F22)&gt;110,1,0)+IF(LEN('Burdens'!F23)&gt;110,1,0)+IF(LEN('Burdens'!F24)&gt;110,1,0)+IF(LEN('Burdens'!F25)&gt;110,1,0)+IF(LEN('Burdens'!F26)&gt;110,1,0)+IF(LEN('Burdens'!F27)&gt;110,1,0)+IF(LEN('Burdens'!F28)&gt;110,1,0)+IF(LEN('Burdens'!F29)&gt;110,1,0)+IF(LEN('Burdens'!F30)&gt;110,1,0)+IF(LEN('Burdens'!F31)&gt;110,1,0)+IF(LEN('Burdens'!F32)&gt;110,1,0)+IF(LEN('Burdens'!F33)&gt;110,1,0)+IF(LEN('Burdens'!F34)&gt;110,1,0)+IF(LEN('Burdens'!H5)&gt;110,1,0)+IF(LEN('Burdens'!H6)&gt;110,1,0)+IF(LEN('Burdens'!H7)&gt;110,1,0)+IF(LEN('Burdens'!H8)&gt;110,1,0)+IF(LEN('Burdens'!H9)&gt;110,1,0)+IF(LEN('Burdens'!H10)&gt;110,1,0)+IF(LEN('Burdens'!H11)&gt;110,1,0)+IF(LEN('Burdens'!H12)&gt;110,1,0)+IF(LEN('Burdens'!H13)&gt;110,1,0)+IF(LEN('Burdens'!H14)&gt;110,1,0)+IF(LEN('Burdens'!H15)&gt;110,1,0)+IF(LEN('Burdens'!H16)&gt;110,1,0)+IF(LEN('Burdens'!H17)&gt;110,1,0)+IF(LEN('Burdens'!H18)&gt;110,1,0)+IF(LEN('Burdens'!H19)&gt;110,1,0)+IF(LEN('Burdens'!H20)&gt;110,1,0)+IF(LEN('Burdens'!H21)&gt;110,1,0)+IF(LEN('Burdens'!H22)&gt;110,1,0)+IF(LEN('Burdens'!H23)&gt;110,1,0)+IF(LEN('Burdens'!H24)&gt;110,1,0)+IF(LEN('Burdens'!H25)&gt;110,1,0)+IF(LEN('Burdens'!H26)&gt;110,1,0)+IF(LEN('Burdens'!H27)&gt;110,1,0)+IF(LEN('Burdens'!H28)&gt;110,1,0)+IF(LEN('Burdens'!H29)&gt;110,1,0)+IF(LEN('Burdens'!H30)&gt;110,1,0)+IF(LEN('Burdens'!H31)&gt;110,1,0)+IF(LEN('Burdens'!H32)&gt;110,1,0)+IF(LEN('Burdens'!H33)&gt;110,1,0)+IF(LEN('Burdens'!H34)&gt;110,1,0)</x:f>
        <x:v>0</x:v>
      </x:c>
      <x:c r="H12" s="85" t="n">
        <x:f>IF(AND(LEN('Burdens'!D5)&gt;=99,LEN('Burdens'!D5)&lt;=110),1,0)+IF(AND(LEN('Burdens'!D6)&gt;=99,LEN('Burdens'!D6)&lt;=110),1,0)+IF(AND(LEN('Burdens'!D7)&gt;=99,LEN('Burdens'!D7)&lt;=110),1,0)+IF(AND(LEN('Burdens'!D8)&gt;=99,LEN('Burdens'!D8)&lt;=110),1,0)+IF(AND(LEN('Burdens'!D9)&gt;=99,LEN('Burdens'!D9)&lt;=110),1,0)+IF(AND(LEN('Burdens'!D10)&gt;=99,LEN('Burdens'!D10)&lt;=110),1,0)+IF(AND(LEN('Burdens'!D11)&gt;=99,LEN('Burdens'!D11)&lt;=110),1,0)+IF(AND(LEN('Burdens'!D12)&gt;=99,LEN('Burdens'!D12)&lt;=110),1,0)+IF(AND(LEN('Burdens'!D13)&gt;=99,LEN('Burdens'!D13)&lt;=110),1,0)+IF(AND(LEN('Burdens'!D14)&gt;=99,LEN('Burdens'!D14)&lt;=110),1,0)+IF(AND(LEN('Burdens'!D15)&gt;=99,LEN('Burdens'!D15)&lt;=110),1,0)+IF(AND(LEN('Burdens'!D16)&gt;=99,LEN('Burdens'!D16)&lt;=110),1,0)+IF(AND(LEN('Burdens'!D17)&gt;=99,LEN('Burdens'!D17)&lt;=110),1,0)+IF(AND(LEN('Burdens'!D18)&gt;=99,LEN('Burdens'!D18)&lt;=110),1,0)+IF(AND(LEN('Burdens'!D19)&gt;=99,LEN('Burdens'!D19)&lt;=110),1,0)+IF(AND(LEN('Burdens'!D20)&gt;=99,LEN('Burdens'!D20)&lt;=110),1,0)+IF(AND(LEN('Burdens'!D21)&gt;=99,LEN('Burdens'!D21)&lt;=110),1,0)+IF(AND(LEN('Burdens'!D22)&gt;=99,LEN('Burdens'!D22)&lt;=110),1,0)+IF(AND(LEN('Burdens'!D23)&gt;=99,LEN('Burdens'!D23)&lt;=110),1,0)+IF(AND(LEN('Burdens'!D24)&gt;=99,LEN('Burdens'!D24)&lt;=110),1,0)+IF(AND(LEN('Burdens'!D25)&gt;=99,LEN('Burdens'!D25)&lt;=110),1,0)+IF(AND(LEN('Burdens'!D26)&gt;=99,LEN('Burdens'!D26)&lt;=110),1,0)+IF(AND(LEN('Burdens'!D27)&gt;=99,LEN('Burdens'!D27)&lt;=110),1,0)+IF(AND(LEN('Burdens'!D28)&gt;=99,LEN('Burdens'!D28)&lt;=110),1,0)+IF(AND(LEN('Burdens'!D29)&gt;=99,LEN('Burdens'!D29)&lt;=110),1,0)+IF(AND(LEN('Burdens'!D30)&gt;=99,LEN('Burdens'!D30)&lt;=110),1,0)+IF(AND(LEN('Burdens'!D31)&gt;=99,LEN('Burdens'!D31)&lt;=110),1,0)+IF(AND(LEN('Burdens'!D32)&gt;=99,LEN('Burdens'!D32)&lt;=110),1,0)+IF(AND(LEN('Burdens'!D33)&gt;=99,LEN('Burdens'!D33)&lt;=110),1,0)+IF(AND(LEN('Burdens'!D34)&gt;=99,LEN('Burdens'!D34)&lt;=110),1,0)+IF(AND(LEN('Burdens'!F5)&gt;=99,LEN('Burdens'!F5)&lt;=110),1,0)+IF(AND(LEN('Burdens'!F6)&gt;=99,LEN('Burdens'!F6)&lt;=110),1,0)+IF(AND(LEN('Burdens'!F7)&gt;=99,LEN('Burdens'!F7)&lt;=110),1,0)+IF(AND(LEN('Burdens'!F8)&gt;=99,LEN('Burdens'!F8)&lt;=110),1,0)+IF(AND(LEN('Burdens'!F9)&gt;=99,LEN('Burdens'!F9)&lt;=110),1,0)+IF(AND(LEN('Burdens'!F10)&gt;=99,LEN('Burdens'!F10)&lt;=110),1,0)+IF(AND(LEN('Burdens'!F11)&gt;=99,LEN('Burdens'!F11)&lt;=110),1,0)+IF(AND(LEN('Burdens'!F12)&gt;=99,LEN('Burdens'!F12)&lt;=110),1,0)+IF(AND(LEN('Burdens'!F13)&gt;=99,LEN('Burdens'!F13)&lt;=110),1,0)+IF(AND(LEN('Burdens'!F14)&gt;=99,LEN('Burdens'!F14)&lt;=110),1,0)+IF(AND(LEN('Burdens'!F15)&gt;=99,LEN('Burdens'!F15)&lt;=110),1,0)+IF(AND(LEN('Burdens'!F16)&gt;=99,LEN('Burdens'!F16)&lt;=110),1,0)+IF(AND(LEN('Burdens'!F17)&gt;=99,LEN('Burdens'!F17)&lt;=110),1,0)+IF(AND(LEN('Burdens'!F18)&gt;=99,LEN('Burdens'!F18)&lt;=110),1,0)+IF(AND(LEN('Burdens'!F19)&gt;=99,LEN('Burdens'!F19)&lt;=110),1,0)+IF(AND(LEN('Burdens'!F20)&gt;=99,LEN('Burdens'!F20)&lt;=110),1,0)+IF(AND(LEN('Burdens'!F21)&gt;=99,LEN('Burdens'!F21)&lt;=110),1,0)+IF(AND(LEN('Burdens'!F22)&gt;=99,LEN('Burdens'!F22)&lt;=110),1,0)+IF(AND(LEN('Burdens'!F23)&gt;=99,LEN('Burdens'!F23)&lt;=110),1,0)+IF(AND(LEN('Burdens'!F24)&gt;=99,LEN('Burdens'!F24)&lt;=110),1,0)+IF(AND(LEN('Burdens'!F25)&gt;=99,LEN('Burdens'!F25)&lt;=110),1,0)+IF(AND(LEN('Burdens'!F26)&gt;=99,LEN('Burdens'!F26)&lt;=110),1,0)+IF(AND(LEN('Burdens'!F27)&gt;=99,LEN('Burdens'!F27)&lt;=110),1,0)+IF(AND(LEN('Burdens'!F28)&gt;=99,LEN('Burdens'!F28)&lt;=110),1,0)+IF(AND(LEN('Burdens'!F29)&gt;=99,LEN('Burdens'!F29)&lt;=110),1,0)+IF(AND(LEN('Burdens'!F30)&gt;=99,LEN('Burdens'!F30)&lt;=110),1,0)+IF(AND(LEN('Burdens'!F31)&gt;=99,LEN('Burdens'!F31)&lt;=110),1,0)+IF(AND(LEN('Burdens'!F32)&gt;=99,LEN('Burdens'!F32)&lt;=110),1,0)+IF(AND(LEN('Burdens'!F33)&gt;=99,LEN('Burdens'!F33)&lt;=110),1,0)+IF(AND(LEN('Burdens'!F34)&gt;=99,LEN('Burdens'!F34)&lt;=110),1,0)+IF(AND(LEN('Burdens'!H5)&gt;=99,LEN('Burdens'!H5)&lt;=110),1,0)+IF(AND(LEN('Burdens'!H6)&gt;=99,LEN('Burdens'!H6)&lt;=110),1,0)+IF(AND(LEN('Burdens'!H7)&gt;=99,LEN('Burdens'!H7)&lt;=110),1,0)+IF(AND(LEN('Burdens'!H8)&gt;=99,LEN('Burdens'!H8)&lt;=110),1,0)+IF(AND(LEN('Burdens'!H9)&gt;=99,LEN('Burdens'!H9)&lt;=110),1,0)+IF(AND(LEN('Burdens'!H10)&gt;=99,LEN('Burdens'!H10)&lt;=110),1,0)+IF(AND(LEN('Burdens'!H11)&gt;=99,LEN('Burdens'!H11)&lt;=110),1,0)+IF(AND(LEN('Burdens'!H12)&gt;=99,LEN('Burdens'!H12)&lt;=110),1,0)+IF(AND(LEN('Burdens'!H13)&gt;=99,LEN('Burdens'!H13)&lt;=110),1,0)+IF(AND(LEN('Burdens'!H14)&gt;=99,LEN('Burdens'!H14)&lt;=110),1,0)+IF(AND(LEN('Burdens'!H15)&gt;=99,LEN('Burdens'!H15)&lt;=110),1,0)+IF(AND(LEN('Burdens'!H16)&gt;=99,LEN('Burdens'!H16)&lt;=110),1,0)+IF(AND(LEN('Burdens'!H17)&gt;=99,LEN('Burdens'!H17)&lt;=110),1,0)+IF(AND(LEN('Burdens'!H18)&gt;=99,LEN('Burdens'!H18)&lt;=110),1,0)+IF(AND(LEN('Burdens'!H19)&gt;=99,LEN('Burdens'!H19)&lt;=110),1,0)+IF(AND(LEN('Burdens'!H20)&gt;=99,LEN('Burdens'!H20)&lt;=110),1,0)+IF(AND(LEN('Burdens'!H21)&gt;=99,LEN('Burdens'!H21)&lt;=110),1,0)+IF(AND(LEN('Burdens'!H22)&gt;=99,LEN('Burdens'!H22)&lt;=110),1,0)+IF(AND(LEN('Burdens'!H23)&gt;=99,LEN('Burdens'!H23)&lt;=110),1,0)+IF(AND(LEN('Burdens'!H24)&gt;=99,LEN('Burdens'!H24)&lt;=110),1,0)+IF(AND(LEN('Burdens'!H25)&gt;=99,LEN('Burdens'!H25)&lt;=110),1,0)+IF(AND(LEN('Burdens'!H26)&gt;=99,LEN('Burdens'!H26)&lt;=110),1,0)+IF(AND(LEN('Burdens'!H27)&gt;=99,LEN('Burdens'!H27)&lt;=110),1,0)+IF(AND(LEN('Burdens'!H28)&gt;=99,LEN('Burdens'!H28)&lt;=110),1,0)+IF(AND(LEN('Burdens'!H29)&gt;=99,LEN('Burdens'!H29)&lt;=110),1,0)+IF(AND(LEN('Burdens'!H30)&gt;=99,LEN('Burdens'!H30)&lt;=110),1,0)+IF(AND(LEN('Burdens'!H31)&gt;=99,LEN('Burdens'!H31)&lt;=110),1,0)+IF(AND(LEN('Burdens'!H32)&gt;=99,LEN('Burdens'!H32)&lt;=110),1,0)+IF(AND(LEN('Burdens'!H33)&gt;=99,LEN('Burdens'!H33)&lt;=110),1,0)+IF(AND(LEN('Burdens'!H34)&gt;=99,LEN('Burdens'!H34)&lt;=110),1,0)</x:f>
        <x:v>5</x:v>
      </x:c>
    </x:row>
    <x:row r="13" ht="31" customHeight="1">
      <x:c r="A13" s="79" t="str">
        <x:v>Burdens</x:v>
      </x:c>
      <x:c r="B13" s="79" t="str">
        <x:v>Resolution</x:v>
      </x:c>
      <x:c r="C13" s="79" t="str">
        <x:v>Burdens!E5:E34, Burdens!G5:G34, Burdens!I5:I34</x:v>
      </x:c>
      <x:c r="D13" s="79" t="str">
        <x:v>Two-line resolution box</x:v>
      </x:c>
      <x:c r="E13" s="83" t="n">
        <x:v>65</x:v>
      </x:c>
      <x:c r="F13" s="85" t="n">
        <x:f>ROUND(E13*0.9,0)</x:f>
        <x:v>59</x:v>
      </x:c>
      <x:c r="G13" s="85" t="n">
        <x:f>IF(LEN('Burdens'!E5)&gt;65,1,0)+IF(LEN('Burdens'!E6)&gt;65,1,0)+IF(LEN('Burdens'!E7)&gt;65,1,0)+IF(LEN('Burdens'!E8)&gt;65,1,0)+IF(LEN('Burdens'!E9)&gt;65,1,0)+IF(LEN('Burdens'!E10)&gt;65,1,0)+IF(LEN('Burdens'!E11)&gt;65,1,0)+IF(LEN('Burdens'!E12)&gt;65,1,0)+IF(LEN('Burdens'!E13)&gt;65,1,0)+IF(LEN('Burdens'!E14)&gt;65,1,0)+IF(LEN('Burdens'!E15)&gt;65,1,0)+IF(LEN('Burdens'!E16)&gt;65,1,0)+IF(LEN('Burdens'!E17)&gt;65,1,0)+IF(LEN('Burdens'!E18)&gt;65,1,0)+IF(LEN('Burdens'!E19)&gt;65,1,0)+IF(LEN('Burdens'!E20)&gt;65,1,0)+IF(LEN('Burdens'!E21)&gt;65,1,0)+IF(LEN('Burdens'!E22)&gt;65,1,0)+IF(LEN('Burdens'!E23)&gt;65,1,0)+IF(LEN('Burdens'!E24)&gt;65,1,0)+IF(LEN('Burdens'!E25)&gt;65,1,0)+IF(LEN('Burdens'!E26)&gt;65,1,0)+IF(LEN('Burdens'!E27)&gt;65,1,0)+IF(LEN('Burdens'!E28)&gt;65,1,0)+IF(LEN('Burdens'!E29)&gt;65,1,0)+IF(LEN('Burdens'!E30)&gt;65,1,0)+IF(LEN('Burdens'!E31)&gt;65,1,0)+IF(LEN('Burdens'!E32)&gt;65,1,0)+IF(LEN('Burdens'!E33)&gt;65,1,0)+IF(LEN('Burdens'!E34)&gt;65,1,0)+IF(LEN('Burdens'!G5)&gt;65,1,0)+IF(LEN('Burdens'!G6)&gt;65,1,0)+IF(LEN('Burdens'!G7)&gt;65,1,0)+IF(LEN('Burdens'!G8)&gt;65,1,0)+IF(LEN('Burdens'!G9)&gt;65,1,0)+IF(LEN('Burdens'!G10)&gt;65,1,0)+IF(LEN('Burdens'!G11)&gt;65,1,0)+IF(LEN('Burdens'!G12)&gt;65,1,0)+IF(LEN('Burdens'!G13)&gt;65,1,0)+IF(LEN('Burdens'!G14)&gt;65,1,0)+IF(LEN('Burdens'!G15)&gt;65,1,0)+IF(LEN('Burdens'!G16)&gt;65,1,0)+IF(LEN('Burdens'!G17)&gt;65,1,0)+IF(LEN('Burdens'!G18)&gt;65,1,0)+IF(LEN('Burdens'!G19)&gt;65,1,0)+IF(LEN('Burdens'!G20)&gt;65,1,0)+IF(LEN('Burdens'!G21)&gt;65,1,0)+IF(LEN('Burdens'!G22)&gt;65,1,0)+IF(LEN('Burdens'!G23)&gt;65,1,0)+IF(LEN('Burdens'!G24)&gt;65,1,0)+IF(LEN('Burdens'!G25)&gt;65,1,0)+IF(LEN('Burdens'!G26)&gt;65,1,0)+IF(LEN('Burdens'!G27)&gt;65,1,0)+IF(LEN('Burdens'!G28)&gt;65,1,0)+IF(LEN('Burdens'!G29)&gt;65,1,0)+IF(LEN('Burdens'!G30)&gt;65,1,0)+IF(LEN('Burdens'!G31)&gt;65,1,0)+IF(LEN('Burdens'!G32)&gt;65,1,0)+IF(LEN('Burdens'!G33)&gt;65,1,0)+IF(LEN('Burdens'!G34)&gt;65,1,0)+IF(LEN('Burdens'!I5)&gt;65,1,0)+IF(LEN('Burdens'!I6)&gt;65,1,0)+IF(LEN('Burdens'!I7)&gt;65,1,0)+IF(LEN('Burdens'!I8)&gt;65,1,0)+IF(LEN('Burdens'!I9)&gt;65,1,0)+IF(LEN('Burdens'!I10)&gt;65,1,0)+IF(LEN('Burdens'!I11)&gt;65,1,0)+IF(LEN('Burdens'!I12)&gt;65,1,0)+IF(LEN('Burdens'!I13)&gt;65,1,0)+IF(LEN('Burdens'!I14)&gt;65,1,0)+IF(LEN('Burdens'!I15)&gt;65,1,0)+IF(LEN('Burdens'!I16)&gt;65,1,0)+IF(LEN('Burdens'!I17)&gt;65,1,0)+IF(LEN('Burdens'!I18)&gt;65,1,0)+IF(LEN('Burdens'!I19)&gt;65,1,0)+IF(LEN('Burdens'!I20)&gt;65,1,0)+IF(LEN('Burdens'!I21)&gt;65,1,0)+IF(LEN('Burdens'!I22)&gt;65,1,0)+IF(LEN('Burdens'!I23)&gt;65,1,0)+IF(LEN('Burdens'!I24)&gt;65,1,0)+IF(LEN('Burdens'!I25)&gt;65,1,0)+IF(LEN('Burdens'!I26)&gt;65,1,0)+IF(LEN('Burdens'!I27)&gt;65,1,0)+IF(LEN('Burdens'!I28)&gt;65,1,0)+IF(LEN('Burdens'!I29)&gt;65,1,0)+IF(LEN('Burdens'!I30)&gt;65,1,0)+IF(LEN('Burdens'!I31)&gt;65,1,0)+IF(LEN('Burdens'!I32)&gt;65,1,0)+IF(LEN('Burdens'!I33)&gt;65,1,0)+IF(LEN('Burdens'!I34)&gt;65,1,0)</x:f>
        <x:v>0</x:v>
      </x:c>
      <x:c r="H13" s="85" t="n">
        <x:f>IF(AND(LEN('Burdens'!E5)&gt;=59,LEN('Burdens'!E5)&lt;=65),1,0)+IF(AND(LEN('Burdens'!E6)&gt;=59,LEN('Burdens'!E6)&lt;=65),1,0)+IF(AND(LEN('Burdens'!E7)&gt;=59,LEN('Burdens'!E7)&lt;=65),1,0)+IF(AND(LEN('Burdens'!E8)&gt;=59,LEN('Burdens'!E8)&lt;=65),1,0)+IF(AND(LEN('Burdens'!E9)&gt;=59,LEN('Burdens'!E9)&lt;=65),1,0)+IF(AND(LEN('Burdens'!E10)&gt;=59,LEN('Burdens'!E10)&lt;=65),1,0)+IF(AND(LEN('Burdens'!E11)&gt;=59,LEN('Burdens'!E11)&lt;=65),1,0)+IF(AND(LEN('Burdens'!E12)&gt;=59,LEN('Burdens'!E12)&lt;=65),1,0)+IF(AND(LEN('Burdens'!E13)&gt;=59,LEN('Burdens'!E13)&lt;=65),1,0)+IF(AND(LEN('Burdens'!E14)&gt;=59,LEN('Burdens'!E14)&lt;=65),1,0)+IF(AND(LEN('Burdens'!E15)&gt;=59,LEN('Burdens'!E15)&lt;=65),1,0)+IF(AND(LEN('Burdens'!E16)&gt;=59,LEN('Burdens'!E16)&lt;=65),1,0)+IF(AND(LEN('Burdens'!E17)&gt;=59,LEN('Burdens'!E17)&lt;=65),1,0)+IF(AND(LEN('Burdens'!E18)&gt;=59,LEN('Burdens'!E18)&lt;=65),1,0)+IF(AND(LEN('Burdens'!E19)&gt;=59,LEN('Burdens'!E19)&lt;=65),1,0)+IF(AND(LEN('Burdens'!E20)&gt;=59,LEN('Burdens'!E20)&lt;=65),1,0)+IF(AND(LEN('Burdens'!E21)&gt;=59,LEN('Burdens'!E21)&lt;=65),1,0)+IF(AND(LEN('Burdens'!E22)&gt;=59,LEN('Burdens'!E22)&lt;=65),1,0)+IF(AND(LEN('Burdens'!E23)&gt;=59,LEN('Burdens'!E23)&lt;=65),1,0)+IF(AND(LEN('Burdens'!E24)&gt;=59,LEN('Burdens'!E24)&lt;=65),1,0)+IF(AND(LEN('Burdens'!E25)&gt;=59,LEN('Burdens'!E25)&lt;=65),1,0)+IF(AND(LEN('Burdens'!E26)&gt;=59,LEN('Burdens'!E26)&lt;=65),1,0)+IF(AND(LEN('Burdens'!E27)&gt;=59,LEN('Burdens'!E27)&lt;=65),1,0)+IF(AND(LEN('Burdens'!E28)&gt;=59,LEN('Burdens'!E28)&lt;=65),1,0)+IF(AND(LEN('Burdens'!E29)&gt;=59,LEN('Burdens'!E29)&lt;=65),1,0)+IF(AND(LEN('Burdens'!E30)&gt;=59,LEN('Burdens'!E30)&lt;=65),1,0)+IF(AND(LEN('Burdens'!E31)&gt;=59,LEN('Burdens'!E31)&lt;=65),1,0)+IF(AND(LEN('Burdens'!E32)&gt;=59,LEN('Burdens'!E32)&lt;=65),1,0)+IF(AND(LEN('Burdens'!E33)&gt;=59,LEN('Burdens'!E33)&lt;=65),1,0)+IF(AND(LEN('Burdens'!E34)&gt;=59,LEN('Burdens'!E34)&lt;=65),1,0)+IF(AND(LEN('Burdens'!G5)&gt;=59,LEN('Burdens'!G5)&lt;=65),1,0)+IF(AND(LEN('Burdens'!G6)&gt;=59,LEN('Burdens'!G6)&lt;=65),1,0)+IF(AND(LEN('Burdens'!G7)&gt;=59,LEN('Burdens'!G7)&lt;=65),1,0)+IF(AND(LEN('Burdens'!G8)&gt;=59,LEN('Burdens'!G8)&lt;=65),1,0)+IF(AND(LEN('Burdens'!G9)&gt;=59,LEN('Burdens'!G9)&lt;=65),1,0)+IF(AND(LEN('Burdens'!G10)&gt;=59,LEN('Burdens'!G10)&lt;=65),1,0)+IF(AND(LEN('Burdens'!G11)&gt;=59,LEN('Burdens'!G11)&lt;=65),1,0)+IF(AND(LEN('Burdens'!G12)&gt;=59,LEN('Burdens'!G12)&lt;=65),1,0)+IF(AND(LEN('Burdens'!G13)&gt;=59,LEN('Burdens'!G13)&lt;=65),1,0)+IF(AND(LEN('Burdens'!G14)&gt;=59,LEN('Burdens'!G14)&lt;=65),1,0)+IF(AND(LEN('Burdens'!G15)&gt;=59,LEN('Burdens'!G15)&lt;=65),1,0)+IF(AND(LEN('Burdens'!G16)&gt;=59,LEN('Burdens'!G16)&lt;=65),1,0)+IF(AND(LEN('Burdens'!G17)&gt;=59,LEN('Burdens'!G17)&lt;=65),1,0)+IF(AND(LEN('Burdens'!G18)&gt;=59,LEN('Burdens'!G18)&lt;=65),1,0)+IF(AND(LEN('Burdens'!G19)&gt;=59,LEN('Burdens'!G19)&lt;=65),1,0)+IF(AND(LEN('Burdens'!G20)&gt;=59,LEN('Burdens'!G20)&lt;=65),1,0)+IF(AND(LEN('Burdens'!G21)&gt;=59,LEN('Burdens'!G21)&lt;=65),1,0)+IF(AND(LEN('Burdens'!G22)&gt;=59,LEN('Burdens'!G22)&lt;=65),1,0)+IF(AND(LEN('Burdens'!G23)&gt;=59,LEN('Burdens'!G23)&lt;=65),1,0)+IF(AND(LEN('Burdens'!G24)&gt;=59,LEN('Burdens'!G24)&lt;=65),1,0)+IF(AND(LEN('Burdens'!G25)&gt;=59,LEN('Burdens'!G25)&lt;=65),1,0)+IF(AND(LEN('Burdens'!G26)&gt;=59,LEN('Burdens'!G26)&lt;=65),1,0)+IF(AND(LEN('Burdens'!G27)&gt;=59,LEN('Burdens'!G27)&lt;=65),1,0)+IF(AND(LEN('Burdens'!G28)&gt;=59,LEN('Burdens'!G28)&lt;=65),1,0)+IF(AND(LEN('Burdens'!G29)&gt;=59,LEN('Burdens'!G29)&lt;=65),1,0)+IF(AND(LEN('Burdens'!G30)&gt;=59,LEN('Burdens'!G30)&lt;=65),1,0)+IF(AND(LEN('Burdens'!G31)&gt;=59,LEN('Burdens'!G31)&lt;=65),1,0)+IF(AND(LEN('Burdens'!G32)&gt;=59,LEN('Burdens'!G32)&lt;=65),1,0)+IF(AND(LEN('Burdens'!G33)&gt;=59,LEN('Burdens'!G33)&lt;=65),1,0)+IF(AND(LEN('Burdens'!G34)&gt;=59,LEN('Burdens'!G34)&lt;=65),1,0)+IF(AND(LEN('Burdens'!I5)&gt;=59,LEN('Burdens'!I5)&lt;=65),1,0)+IF(AND(LEN('Burdens'!I6)&gt;=59,LEN('Burdens'!I6)&lt;=65),1,0)+IF(AND(LEN('Burdens'!I7)&gt;=59,LEN('Burdens'!I7)&lt;=65),1,0)+IF(AND(LEN('Burdens'!I8)&gt;=59,LEN('Burdens'!I8)&lt;=65),1,0)+IF(AND(LEN('Burdens'!I9)&gt;=59,LEN('Burdens'!I9)&lt;=65),1,0)+IF(AND(LEN('Burdens'!I10)&gt;=59,LEN('Burdens'!I10)&lt;=65),1,0)+IF(AND(LEN('Burdens'!I11)&gt;=59,LEN('Burdens'!I11)&lt;=65),1,0)+IF(AND(LEN('Burdens'!I12)&gt;=59,LEN('Burdens'!I12)&lt;=65),1,0)+IF(AND(LEN('Burdens'!I13)&gt;=59,LEN('Burdens'!I13)&lt;=65),1,0)+IF(AND(LEN('Burdens'!I14)&gt;=59,LEN('Burdens'!I14)&lt;=65),1,0)+IF(AND(LEN('Burdens'!I15)&gt;=59,LEN('Burdens'!I15)&lt;=65),1,0)+IF(AND(LEN('Burdens'!I16)&gt;=59,LEN('Burdens'!I16)&lt;=65),1,0)+IF(AND(LEN('Burdens'!I17)&gt;=59,LEN('Burdens'!I17)&lt;=65),1,0)+IF(AND(LEN('Burdens'!I18)&gt;=59,LEN('Burdens'!I18)&lt;=65),1,0)+IF(AND(LEN('Burdens'!I19)&gt;=59,LEN('Burdens'!I19)&lt;=65),1,0)+IF(AND(LEN('Burdens'!I20)&gt;=59,LEN('Burdens'!I20)&lt;=65),1,0)+IF(AND(LEN('Burdens'!I21)&gt;=59,LEN('Burdens'!I21)&lt;=65),1,0)+IF(AND(LEN('Burdens'!I22)&gt;=59,LEN('Burdens'!I22)&lt;=65),1,0)+IF(AND(LEN('Burdens'!I23)&gt;=59,LEN('Burdens'!I23)&lt;=65),1,0)+IF(AND(LEN('Burdens'!I24)&gt;=59,LEN('Burdens'!I24)&lt;=65),1,0)+IF(AND(LEN('Burdens'!I25)&gt;=59,LEN('Burdens'!I25)&lt;=65),1,0)+IF(AND(LEN('Burdens'!I26)&gt;=59,LEN('Burdens'!I26)&lt;=65),1,0)+IF(AND(LEN('Burdens'!I27)&gt;=59,LEN('Burdens'!I27)&lt;=65),1,0)+IF(AND(LEN('Burdens'!I28)&gt;=59,LEN('Burdens'!I28)&lt;=65),1,0)+IF(AND(LEN('Burdens'!I29)&gt;=59,LEN('Burdens'!I29)&lt;=65),1,0)+IF(AND(LEN('Burdens'!I30)&gt;=59,LEN('Burdens'!I30)&lt;=65),1,0)+IF(AND(LEN('Burdens'!I31)&gt;=59,LEN('Burdens'!I31)&lt;=65),1,0)+IF(AND(LEN('Burdens'!I32)&gt;=59,LEN('Burdens'!I32)&lt;=65),1,0)+IF(AND(LEN('Burdens'!I33)&gt;=59,LEN('Burdens'!I33)&lt;=65),1,0)+IF(AND(LEN('Burdens'!I34)&gt;=59,LEN('Burdens'!I34)&lt;=65),1,0)</x:f>
        <x:v>0</x:v>
      </x:c>
    </x:row>
    <x:row r="14" ht="31" customHeight="1">
      <x:c r="A14" s="79" t="str">
        <x:v>Arrivals</x:v>
      </x:c>
      <x:c r="B14" s="79" t="str">
        <x:v>Card name</x:v>
      </x:c>
      <x:c r="C14" s="79" t="str">
        <x:v>Arrivals!B5:B29</x:v>
      </x:c>
      <x:c r="D14" s="79" t="str">
        <x:v>Two-line title box</x:v>
      </x:c>
      <x:c r="E14" s="83" t="n">
        <x:v>24</x:v>
      </x:c>
      <x:c r="F14" s="85" t="n">
        <x:f>ROUND(E14*0.9,0)</x:f>
        <x:v>22</x:v>
      </x:c>
      <x:c r="G14" s="85" t="n">
        <x:f>IF(LEN(Arrivals!B5)&gt;$E$14,1,0)+IF(LEN(Arrivals!B6)&gt;$E$14,1,0)+IF(LEN(Arrivals!B7)&gt;$E$14,1,0)+IF(LEN(Arrivals!B8)&gt;$E$14,1,0)+IF(LEN(Arrivals!B9)&gt;$E$14,1,0)+IF(LEN(Arrivals!B10)&gt;$E$14,1,0)+IF(LEN(Arrivals!B11)&gt;$E$14,1,0)+IF(LEN(Arrivals!B12)&gt;$E$14,1,0)+IF(LEN(Arrivals!B13)&gt;$E$14,1,0)+IF(LEN(Arrivals!B14)&gt;$E$14,1,0)+IF(LEN(Arrivals!B15)&gt;$E$14,1,0)+IF(LEN(Arrivals!B16)&gt;$E$14,1,0)+IF(LEN(Arrivals!B17)&gt;$E$14,1,0)+IF(LEN(Arrivals!B18)&gt;$E$14,1,0)+IF(LEN(Arrivals!B19)&gt;$E$14,1,0)+IF(LEN(Arrivals!B20)&gt;$E$14,1,0)+IF(LEN(Arrivals!B21)&gt;$E$14,1,0)+IF(LEN(Arrivals!B22)&gt;$E$14,1,0)+IF(LEN(Arrivals!B23)&gt;$E$14,1,0)+IF(LEN(Arrivals!B24)&gt;$E$14,1,0)+IF(LEN(Arrivals!B25)&gt;$E$14,1,0)+IF(LEN(Arrivals!B26)&gt;$E$14,1,0)+IF(LEN(Arrivals!B27)&gt;$E$14,1,0)+IF(LEN(Arrivals!B28)&gt;$E$14,1,0)+IF(LEN(Arrivals!B29)&gt;$E$14,1,0)</x:f>
        <x:v>0</x:v>
      </x:c>
      <x:c r="H14" s="85" t="n">
        <x:f>IF(AND(LEN(Arrivals!B5)&gt;=$F$14,LEN(Arrivals!B5)&lt;=$E$14),1,0)+IF(AND(LEN(Arrivals!B6)&gt;=$F$14,LEN(Arrivals!B6)&lt;=$E$14),1,0)+IF(AND(LEN(Arrivals!B7)&gt;=$F$14,LEN(Arrivals!B7)&lt;=$E$14),1,0)+IF(AND(LEN(Arrivals!B8)&gt;=$F$14,LEN(Arrivals!B8)&lt;=$E$14),1,0)+IF(AND(LEN(Arrivals!B9)&gt;=$F$14,LEN(Arrivals!B9)&lt;=$E$14),1,0)+IF(AND(LEN(Arrivals!B10)&gt;=$F$14,LEN(Arrivals!B10)&lt;=$E$14),1,0)+IF(AND(LEN(Arrivals!B11)&gt;=$F$14,LEN(Arrivals!B11)&lt;=$E$14),1,0)+IF(AND(LEN(Arrivals!B12)&gt;=$F$14,LEN(Arrivals!B12)&lt;=$E$14),1,0)+IF(AND(LEN(Arrivals!B13)&gt;=$F$14,LEN(Arrivals!B13)&lt;=$E$14),1,0)+IF(AND(LEN(Arrivals!B14)&gt;=$F$14,LEN(Arrivals!B14)&lt;=$E$14),1,0)+IF(AND(LEN(Arrivals!B15)&gt;=$F$14,LEN(Arrivals!B15)&lt;=$E$14),1,0)+IF(AND(LEN(Arrivals!B16)&gt;=$F$14,LEN(Arrivals!B16)&lt;=$E$14),1,0)+IF(AND(LEN(Arrivals!B17)&gt;=$F$14,LEN(Arrivals!B17)&lt;=$E$14),1,0)+IF(AND(LEN(Arrivals!B18)&gt;=$F$14,LEN(Arrivals!B18)&lt;=$E$14),1,0)+IF(AND(LEN(Arrivals!B19)&gt;=$F$14,LEN(Arrivals!B19)&lt;=$E$14),1,0)+IF(AND(LEN(Arrivals!B20)&gt;=$F$14,LEN(Arrivals!B20)&lt;=$E$14),1,0)+IF(AND(LEN(Arrivals!B21)&gt;=$F$14,LEN(Arrivals!B21)&lt;=$E$14),1,0)+IF(AND(LEN(Arrivals!B22)&gt;=$F$14,LEN(Arrivals!B22)&lt;=$E$14),1,0)+IF(AND(LEN(Arrivals!B23)&gt;=$F$14,LEN(Arrivals!B23)&lt;=$E$14),1,0)+IF(AND(LEN(Arrivals!B24)&gt;=$F$14,LEN(Arrivals!B24)&lt;=$E$14),1,0)+IF(AND(LEN(Arrivals!B25)&gt;=$F$14,LEN(Arrivals!B25)&lt;=$E$14),1,0)+IF(AND(LEN(Arrivals!B26)&gt;=$F$14,LEN(Arrivals!B26)&lt;=$E$14),1,0)+IF(AND(LEN(Arrivals!B27)&gt;=$F$14,LEN(Arrivals!B27)&lt;=$E$14),1,0)+IF(AND(LEN(Arrivals!B28)&gt;=$F$14,LEN(Arrivals!B28)&lt;=$E$14),1,0)+IF(AND(LEN(Arrivals!B29)&gt;=$F$14,LEN(Arrivals!B29)&lt;=$E$14),1,0)</x:f>
        <x:v>3</x:v>
      </x:c>
    </x:row>
    <x:row r="15" ht="31" customHeight="1">
      <x:c r="A15" s="79" t="str">
        <x:v>Arrivals</x:v>
      </x:c>
      <x:c r="B15" s="79" t="str">
        <x:v>Flavour text</x:v>
      </x:c>
      <x:c r="C15" s="79" t="str">
        <x:v>Arrivals!C5:C29</x:v>
      </x:c>
      <x:c r="D15" s="79" t="str">
        <x:v>Five-line Arrival proof area</x:v>
      </x:c>
      <x:c r="E15" s="83" t="n">
        <x:v>235</x:v>
      </x:c>
      <x:c r="F15" s="85" t="n">
        <x:f>ROUND(E15*0.9,0)</x:f>
        <x:v>212</x:v>
      </x:c>
      <x:c r="G15" s="85" t="n">
        <x:f>IF(LEN(Arrivals!C5)&gt;$E$15,1,0)+IF(LEN(Arrivals!C6)&gt;$E$15,1,0)+IF(LEN(Arrivals!C7)&gt;$E$15,1,0)+IF(LEN(Arrivals!C8)&gt;$E$15,1,0)+IF(LEN(Arrivals!C9)&gt;$E$15,1,0)+IF(LEN(Arrivals!C10)&gt;$E$15,1,0)+IF(LEN(Arrivals!C11)&gt;$E$15,1,0)+IF(LEN(Arrivals!C12)&gt;$E$15,1,0)+IF(LEN(Arrivals!C13)&gt;$E$15,1,0)+IF(LEN(Arrivals!C14)&gt;$E$15,1,0)+IF(LEN(Arrivals!C15)&gt;$E$15,1,0)+IF(LEN(Arrivals!C16)&gt;$E$15,1,0)+IF(LEN(Arrivals!C17)&gt;$E$15,1,0)+IF(LEN(Arrivals!C18)&gt;$E$15,1,0)+IF(LEN(Arrivals!C19)&gt;$E$15,1,0)+IF(LEN(Arrivals!C20)&gt;$E$15,1,0)+IF(LEN(Arrivals!C21)&gt;$E$15,1,0)+IF(LEN(Arrivals!C22)&gt;$E$15,1,0)+IF(LEN(Arrivals!C23)&gt;$E$15,1,0)+IF(LEN(Arrivals!C24)&gt;$E$15,1,0)+IF(LEN(Arrivals!C25)&gt;$E$15,1,0)+IF(LEN(Arrivals!C26)&gt;$E$15,1,0)+IF(LEN(Arrivals!C27)&gt;$E$15,1,0)+IF(LEN(Arrivals!C28)&gt;$E$15,1,0)+IF(LEN(Arrivals!C29)&gt;$E$15,1,0)</x:f>
        <x:v>0</x:v>
      </x:c>
      <x:c r="H15" s="85" t="n">
        <x:f>IF(AND(LEN(Arrivals!C5)&gt;=$F$15,LEN(Arrivals!C5)&lt;=$E$15),1,0)+IF(AND(LEN(Arrivals!C6)&gt;=$F$15,LEN(Arrivals!C6)&lt;=$E$15),1,0)+IF(AND(LEN(Arrivals!C7)&gt;=$F$15,LEN(Arrivals!C7)&lt;=$E$15),1,0)+IF(AND(LEN(Arrivals!C8)&gt;=$F$15,LEN(Arrivals!C8)&lt;=$E$15),1,0)+IF(AND(LEN(Arrivals!C9)&gt;=$F$15,LEN(Arrivals!C9)&lt;=$E$15),1,0)+IF(AND(LEN(Arrivals!C10)&gt;=$F$15,LEN(Arrivals!C10)&lt;=$E$15),1,0)+IF(AND(LEN(Arrivals!C11)&gt;=$F$15,LEN(Arrivals!C11)&lt;=$E$15),1,0)+IF(AND(LEN(Arrivals!C12)&gt;=$F$15,LEN(Arrivals!C12)&lt;=$E$15),1,0)+IF(AND(LEN(Arrivals!C13)&gt;=$F$15,LEN(Arrivals!C13)&lt;=$E$15),1,0)+IF(AND(LEN(Arrivals!C14)&gt;=$F$15,LEN(Arrivals!C14)&lt;=$E$15),1,0)+IF(AND(LEN(Arrivals!C15)&gt;=$F$15,LEN(Arrivals!C15)&lt;=$E$15),1,0)+IF(AND(LEN(Arrivals!C16)&gt;=$F$15,LEN(Arrivals!C16)&lt;=$E$15),1,0)+IF(AND(LEN(Arrivals!C17)&gt;=$F$15,LEN(Arrivals!C17)&lt;=$E$15),1,0)+IF(AND(LEN(Arrivals!C18)&gt;=$F$15,LEN(Arrivals!C18)&lt;=$E$15),1,0)+IF(AND(LEN(Arrivals!C19)&gt;=$F$15,LEN(Arrivals!C19)&lt;=$E$15),1,0)+IF(AND(LEN(Arrivals!C20)&gt;=$F$15,LEN(Arrivals!C20)&lt;=$E$15),1,0)+IF(AND(LEN(Arrivals!C21)&gt;=$F$15,LEN(Arrivals!C21)&lt;=$E$15),1,0)+IF(AND(LEN(Arrivals!C22)&gt;=$F$15,LEN(Arrivals!C22)&lt;=$E$15),1,0)+IF(AND(LEN(Arrivals!C23)&gt;=$F$15,LEN(Arrivals!C23)&lt;=$E$15),1,0)+IF(AND(LEN(Arrivals!C24)&gt;=$F$15,LEN(Arrivals!C24)&lt;=$E$15),1,0)+IF(AND(LEN(Arrivals!C25)&gt;=$F$15,LEN(Arrivals!C25)&lt;=$E$15),1,0)+IF(AND(LEN(Arrivals!C26)&gt;=$F$15,LEN(Arrivals!C26)&lt;=$E$15),1,0)+IF(AND(LEN(Arrivals!C27)&gt;=$F$15,LEN(Arrivals!C27)&lt;=$E$15),1,0)+IF(AND(LEN(Arrivals!C28)&gt;=$F$15,LEN(Arrivals!C28)&lt;=$E$15),1,0)+IF(AND(LEN(Arrivals!C29)&gt;=$F$15,LEN(Arrivals!C29)&lt;=$E$15),1,0)</x:f>
        <x:v>13</x:v>
      </x:c>
    </x:row>
    <x:row r="16" ht="31" customHeight="1">
      <x:c r="A16" s="79" t="str">
        <x:v>Arrivals</x:v>
      </x:c>
      <x:c r="B16" s="79" t="str">
        <x:v>Requirement</x:v>
      </x:c>
      <x:c r="C16" s="79" t="str">
        <x:v>Arrivals!D5:D29</x:v>
      </x:c>
      <x:c r="D16" s="79" t="str">
        <x:v>Compact requirement block</x:v>
      </x:c>
      <x:c r="E16" s="83" t="n">
        <x:v>60</x:v>
      </x:c>
      <x:c r="F16" s="85" t="n">
        <x:f>ROUND(E16*0.9,0)</x:f>
        <x:v>54</x:v>
      </x:c>
      <x:c r="G16" s="85" t="n">
        <x:f>IF(LEN(Arrivals!D5)&gt;$E$16,1,0)+IF(LEN(Arrivals!D6)&gt;$E$16,1,0)+IF(LEN(Arrivals!D7)&gt;$E$16,1,0)+IF(LEN(Arrivals!D8)&gt;$E$16,1,0)+IF(LEN(Arrivals!D9)&gt;$E$16,1,0)+IF(LEN(Arrivals!D10)&gt;$E$16,1,0)+IF(LEN(Arrivals!D11)&gt;$E$16,1,0)+IF(LEN(Arrivals!D12)&gt;$E$16,1,0)+IF(LEN(Arrivals!D13)&gt;$E$16,1,0)+IF(LEN(Arrivals!D14)&gt;$E$16,1,0)+IF(LEN(Arrivals!D15)&gt;$E$16,1,0)+IF(LEN(Arrivals!D16)&gt;$E$16,1,0)+IF(LEN(Arrivals!D17)&gt;$E$16,1,0)+IF(LEN(Arrivals!D18)&gt;$E$16,1,0)+IF(LEN(Arrivals!D19)&gt;$E$16,1,0)+IF(LEN(Arrivals!D20)&gt;$E$16,1,0)+IF(LEN(Arrivals!D21)&gt;$E$16,1,0)+IF(LEN(Arrivals!D22)&gt;$E$16,1,0)+IF(LEN(Arrivals!D23)&gt;$E$16,1,0)+IF(LEN(Arrivals!D24)&gt;$E$16,1,0)+IF(LEN(Arrivals!D25)&gt;$E$16,1,0)+IF(LEN(Arrivals!D26)&gt;$E$16,1,0)+IF(LEN(Arrivals!D27)&gt;$E$16,1,0)+IF(LEN(Arrivals!D28)&gt;$E$16,1,0)+IF(LEN(Arrivals!D29)&gt;$E$16,1,0)</x:f>
        <x:v>0</x:v>
      </x:c>
      <x:c r="H16" s="85" t="n">
        <x:f>IF(AND(LEN(Arrivals!D5)&gt;=$F$16,LEN(Arrivals!D5)&lt;=$E$16),1,0)+IF(AND(LEN(Arrivals!D6)&gt;=$F$16,LEN(Arrivals!D6)&lt;=$E$16),1,0)+IF(AND(LEN(Arrivals!D7)&gt;=$F$16,LEN(Arrivals!D7)&lt;=$E$16),1,0)+IF(AND(LEN(Arrivals!D8)&gt;=$F$16,LEN(Arrivals!D8)&lt;=$E$16),1,0)+IF(AND(LEN(Arrivals!D9)&gt;=$F$16,LEN(Arrivals!D9)&lt;=$E$16),1,0)+IF(AND(LEN(Arrivals!D10)&gt;=$F$16,LEN(Arrivals!D10)&lt;=$E$16),1,0)+IF(AND(LEN(Arrivals!D11)&gt;=$F$16,LEN(Arrivals!D11)&lt;=$E$16),1,0)+IF(AND(LEN(Arrivals!D12)&gt;=$F$16,LEN(Arrivals!D12)&lt;=$E$16),1,0)+IF(AND(LEN(Arrivals!D13)&gt;=$F$16,LEN(Arrivals!D13)&lt;=$E$16),1,0)+IF(AND(LEN(Arrivals!D14)&gt;=$F$16,LEN(Arrivals!D14)&lt;=$E$16),1,0)+IF(AND(LEN(Arrivals!D15)&gt;=$F$16,LEN(Arrivals!D15)&lt;=$E$16),1,0)+IF(AND(LEN(Arrivals!D16)&gt;=$F$16,LEN(Arrivals!D16)&lt;=$E$16),1,0)+IF(AND(LEN(Arrivals!D17)&gt;=$F$16,LEN(Arrivals!D17)&lt;=$E$16),1,0)+IF(AND(LEN(Arrivals!D18)&gt;=$F$16,LEN(Arrivals!D18)&lt;=$E$16),1,0)+IF(AND(LEN(Arrivals!D19)&gt;=$F$16,LEN(Arrivals!D19)&lt;=$E$16),1,0)+IF(AND(LEN(Arrivals!D20)&gt;=$F$16,LEN(Arrivals!D20)&lt;=$E$16),1,0)+IF(AND(LEN(Arrivals!D21)&gt;=$F$16,LEN(Arrivals!D21)&lt;=$E$16),1,0)+IF(AND(LEN(Arrivals!D22)&gt;=$F$16,LEN(Arrivals!D22)&lt;=$E$16),1,0)+IF(AND(LEN(Arrivals!D23)&gt;=$F$16,LEN(Arrivals!D23)&lt;=$E$16),1,0)+IF(AND(LEN(Arrivals!D24)&gt;=$F$16,LEN(Arrivals!D24)&lt;=$E$16),1,0)+IF(AND(LEN(Arrivals!D25)&gt;=$F$16,LEN(Arrivals!D25)&lt;=$E$16),1,0)+IF(AND(LEN(Arrivals!D26)&gt;=$F$16,LEN(Arrivals!D26)&lt;=$E$16),1,0)+IF(AND(LEN(Arrivals!D27)&gt;=$F$16,LEN(Arrivals!D27)&lt;=$E$16),1,0)+IF(AND(LEN(Arrivals!D28)&gt;=$F$16,LEN(Arrivals!D28)&lt;=$E$16),1,0)+IF(AND(LEN(Arrivals!D29)&gt;=$F$16,LEN(Arrivals!D29)&lt;=$E$16),1,0)</x:f>
        <x:v>1</x:v>
      </x:c>
    </x:row>
    <x:row r="17" ht="31" customHeight="1">
      <x:c r="A17" s="79" t="str">
        <x:v>Arrivals</x:v>
      </x:c>
      <x:c r="B17" s="79" t="str">
        <x:v>Reward</x:v>
      </x:c>
      <x:c r="C17" s="79" t="str">
        <x:v>Arrivals!E5:E29</x:v>
      </x:c>
      <x:c r="D17" s="79" t="str">
        <x:v>Single reward line</x:v>
      </x:c>
      <x:c r="E17" s="83" t="n">
        <x:v>40</x:v>
      </x:c>
      <x:c r="F17" s="85" t="n">
        <x:f>ROUND(E17*0.9,0)</x:f>
        <x:v>36</x:v>
      </x:c>
      <x:c r="G17" s="85" t="n">
        <x:f>IF(LEN(Arrivals!E5)&gt;$E$17,1,0)+IF(LEN(Arrivals!E6)&gt;$E$17,1,0)+IF(LEN(Arrivals!E7)&gt;$E$17,1,0)+IF(LEN(Arrivals!E8)&gt;$E$17,1,0)+IF(LEN(Arrivals!E9)&gt;$E$17,1,0)+IF(LEN(Arrivals!E10)&gt;$E$17,1,0)+IF(LEN(Arrivals!E11)&gt;$E$17,1,0)+IF(LEN(Arrivals!E12)&gt;$E$17,1,0)+IF(LEN(Arrivals!E13)&gt;$E$17,1,0)+IF(LEN(Arrivals!E14)&gt;$E$17,1,0)+IF(LEN(Arrivals!E15)&gt;$E$17,1,0)+IF(LEN(Arrivals!E16)&gt;$E$17,1,0)+IF(LEN(Arrivals!E17)&gt;$E$17,1,0)+IF(LEN(Arrivals!E18)&gt;$E$17,1,0)+IF(LEN(Arrivals!E19)&gt;$E$17,1,0)+IF(LEN(Arrivals!E20)&gt;$E$17,1,0)+IF(LEN(Arrivals!E21)&gt;$E$17,1,0)+IF(LEN(Arrivals!E22)&gt;$E$17,1,0)+IF(LEN(Arrivals!E23)&gt;$E$17,1,0)+IF(LEN(Arrivals!E24)&gt;$E$17,1,0)+IF(LEN(Arrivals!E25)&gt;$E$17,1,0)+IF(LEN(Arrivals!E26)&gt;$E$17,1,0)+IF(LEN(Arrivals!E27)&gt;$E$17,1,0)+IF(LEN(Arrivals!E28)&gt;$E$17,1,0)+IF(LEN(Arrivals!E29)&gt;$E$17,1,0)</x:f>
        <x:v>0</x:v>
      </x:c>
      <x:c r="H17" s="85" t="n">
        <x:f>IF(AND(LEN(Arrivals!E5)&gt;=$F$17,LEN(Arrivals!E5)&lt;=$E$17),1,0)+IF(AND(LEN(Arrivals!E6)&gt;=$F$17,LEN(Arrivals!E6)&lt;=$E$17),1,0)+IF(AND(LEN(Arrivals!E7)&gt;=$F$17,LEN(Arrivals!E7)&lt;=$E$17),1,0)+IF(AND(LEN(Arrivals!E8)&gt;=$F$17,LEN(Arrivals!E8)&lt;=$E$17),1,0)+IF(AND(LEN(Arrivals!E9)&gt;=$F$17,LEN(Arrivals!E9)&lt;=$E$17),1,0)+IF(AND(LEN(Arrivals!E10)&gt;=$F$17,LEN(Arrivals!E10)&lt;=$E$17),1,0)+IF(AND(LEN(Arrivals!E11)&gt;=$F$17,LEN(Arrivals!E11)&lt;=$E$17),1,0)+IF(AND(LEN(Arrivals!E12)&gt;=$F$17,LEN(Arrivals!E12)&lt;=$E$17),1,0)+IF(AND(LEN(Arrivals!E13)&gt;=$F$17,LEN(Arrivals!E13)&lt;=$E$17),1,0)+IF(AND(LEN(Arrivals!E14)&gt;=$F$17,LEN(Arrivals!E14)&lt;=$E$17),1,0)+IF(AND(LEN(Arrivals!E15)&gt;=$F$17,LEN(Arrivals!E15)&lt;=$E$17),1,0)+IF(AND(LEN(Arrivals!E16)&gt;=$F$17,LEN(Arrivals!E16)&lt;=$E$17),1,0)+IF(AND(LEN(Arrivals!E17)&gt;=$F$17,LEN(Arrivals!E17)&lt;=$E$17),1,0)+IF(AND(LEN(Arrivals!E18)&gt;=$F$17,LEN(Arrivals!E18)&lt;=$E$17),1,0)+IF(AND(LEN(Arrivals!E19)&gt;=$F$17,LEN(Arrivals!E19)&lt;=$E$17),1,0)+IF(AND(LEN(Arrivals!E20)&gt;=$F$17,LEN(Arrivals!E20)&lt;=$E$17),1,0)+IF(AND(LEN(Arrivals!E21)&gt;=$F$17,LEN(Arrivals!E21)&lt;=$E$17),1,0)+IF(AND(LEN(Arrivals!E22)&gt;=$F$17,LEN(Arrivals!E22)&lt;=$E$17),1,0)+IF(AND(LEN(Arrivals!E23)&gt;=$F$17,LEN(Arrivals!E23)&lt;=$E$17),1,0)+IF(AND(LEN(Arrivals!E24)&gt;=$F$17,LEN(Arrivals!E24)&lt;=$E$17),1,0)+IF(AND(LEN(Arrivals!E25)&gt;=$F$17,LEN(Arrivals!E25)&lt;=$E$17),1,0)+IF(AND(LEN(Arrivals!E26)&gt;=$F$17,LEN(Arrivals!E26)&lt;=$E$17),1,0)+IF(AND(LEN(Arrivals!E27)&gt;=$F$17,LEN(Arrivals!E27)&lt;=$E$17),1,0)+IF(AND(LEN(Arrivals!E28)&gt;=$F$17,LEN(Arrivals!E28)&lt;=$E$17),1,0)+IF(AND(LEN(Arrivals!E29)&gt;=$F$17,LEN(Arrivals!E29)&lt;=$E$17),1,0)</x:f>
        <x:v>0</x:v>
      </x:c>
    </x:row>
    <x:row r="18" ht="31" customHeight="1">
      <x:c r="A18" s="79" t="str">
        <x:v>Golden Boons</x:v>
      </x:c>
      <x:c r="B18" s="79" t="str">
        <x:v>Card name</x:v>
      </x:c>
      <x:c r="C18" s="79" t="str">
        <x:v>'Golden Boons'!B5:B9</x:v>
      </x:c>
      <x:c r="D18" s="79" t="str">
        <x:v>Two-line title box</x:v>
      </x:c>
      <x:c r="E18" s="83" t="n">
        <x:v>28</x:v>
      </x:c>
      <x:c r="F18" s="85" t="n">
        <x:f>ROUND(E18*0.9,0)</x:f>
        <x:v>25</x:v>
      </x:c>
      <x:c r="G18" s="85" t="n">
        <x:f>IF(LEN('Golden Boons'!B5)&gt;$E$18,1,0)+IF(LEN('Golden Boons'!B6)&gt;$E$18,1,0)+IF(LEN('Golden Boons'!B7)&gt;$E$18,1,0)+IF(LEN('Golden Boons'!B8)&gt;$E$18,1,0)+IF(LEN('Golden Boons'!B9)&gt;$E$18,1,0)</x:f>
        <x:v>0</x:v>
      </x:c>
      <x:c r="H18" s="85" t="n">
        <x:f>IF(AND(LEN('Golden Boons'!B5)&gt;=$F$18,LEN('Golden Boons'!B5)&lt;=$E$18),1,0)+IF(AND(LEN('Golden Boons'!B6)&gt;=$F$18,LEN('Golden Boons'!B6)&lt;=$E$18),1,0)+IF(AND(LEN('Golden Boons'!B7)&gt;=$F$18,LEN('Golden Boons'!B7)&lt;=$E$18),1,0)+IF(AND(LEN('Golden Boons'!B8)&gt;=$F$18,LEN('Golden Boons'!B8)&lt;=$E$18),1,0)+IF(AND(LEN('Golden Boons'!B9)&gt;=$F$18,LEN('Golden Boons'!B9)&lt;=$E$18),1,0)</x:f>
        <x:v>1</x:v>
      </x:c>
    </x:row>
    <x:row r="19" ht="31" customHeight="1">
      <x:c r="A19" s="79" t="str">
        <x:v>Golden Boons</x:v>
      </x:c>
      <x:c r="B19" s="79" t="str">
        <x:v>Flavour text</x:v>
      </x:c>
      <x:c r="C19" s="79" t="str">
        <x:v>'Golden Boons'!C5:C9</x:v>
      </x:c>
      <x:c r="D19" s="79" t="str">
        <x:v>Five-line flavour area</x:v>
      </x:c>
      <x:c r="E19" s="83" t="n">
        <x:v>230</x:v>
      </x:c>
      <x:c r="F19" s="85" t="n">
        <x:f>ROUND(E19*0.9,0)</x:f>
        <x:v>207</x:v>
      </x:c>
      <x:c r="G19" s="85" t="n">
        <x:f>IF(LEN('Golden Boons'!C5)&gt;$E$19,1,0)+IF(LEN('Golden Boons'!C6)&gt;$E$19,1,0)+IF(LEN('Golden Boons'!C7)&gt;$E$19,1,0)+IF(LEN('Golden Boons'!C8)&gt;$E$19,1,0)+IF(LEN('Golden Boons'!C9)&gt;$E$19,1,0)</x:f>
        <x:v>0</x:v>
      </x:c>
      <x:c r="H19" s="85" t="n">
        <x:f>IF(AND(LEN('Golden Boons'!C5)&gt;=$F$19,LEN('Golden Boons'!C5)&lt;=$E$19),1,0)+IF(AND(LEN('Golden Boons'!C6)&gt;=$F$19,LEN('Golden Boons'!C6)&lt;=$E$19),1,0)+IF(AND(LEN('Golden Boons'!C7)&gt;=$F$19,LEN('Golden Boons'!C7)&lt;=$E$19),1,0)+IF(AND(LEN('Golden Boons'!C8)&gt;=$F$19,LEN('Golden Boons'!C8)&lt;=$E$19),1,0)+IF(AND(LEN('Golden Boons'!C9)&gt;=$F$19,LEN('Golden Boons'!C9)&lt;=$E$19),1,0)</x:f>
        <x:v>3</x:v>
      </x:c>
    </x:row>
    <x:row r="20" ht="31" customHeight="1">
      <x:c r="A20" s="79" t="str">
        <x:v>Golden Boons</x:v>
      </x:c>
      <x:c r="B20" s="79" t="str">
        <x:v>Effect</x:v>
      </x:c>
      <x:c r="C20" s="79" t="str">
        <x:v>'Golden Boons'!D5:D9</x:v>
      </x:c>
      <x:c r="D20" s="79" t="str">
        <x:v>Large effect box. Keeps safe footer gap</x:v>
      </x:c>
      <x:c r="E20" s="83" t="n">
        <x:v>430</x:v>
      </x:c>
      <x:c r="F20" s="85" t="n">
        <x:f>ROUND(E20*0.9,0)</x:f>
        <x:v>387</x:v>
      </x:c>
      <x:c r="G20" s="85" t="n">
        <x:f>IF(LEN('Golden Boons'!D5)&gt;$E$20,1,0)+IF(LEN('Golden Boons'!D6)&gt;$E$20,1,0)+IF(LEN('Golden Boons'!D7)&gt;$E$20,1,0)+IF(LEN('Golden Boons'!D8)&gt;$E$20,1,0)+IF(LEN('Golden Boons'!D9)&gt;$E$20,1,0)</x:f>
        <x:v>0</x:v>
      </x:c>
      <x:c r="H20" s="85" t="n">
        <x:f>IF(AND(LEN('Golden Boons'!D5)&gt;=$F$20,LEN('Golden Boons'!D5)&lt;=$E$20),1,0)+IF(AND(LEN('Golden Boons'!D6)&gt;=$F$20,LEN('Golden Boons'!D6)&lt;=$E$20),1,0)+IF(AND(LEN('Golden Boons'!D7)&gt;=$F$20,LEN('Golden Boons'!D7)&lt;=$E$20),1,0)+IF(AND(LEN('Golden Boons'!D8)&gt;=$F$20,LEN('Golden Boons'!D8)&lt;=$E$20),1,0)+IF(AND(LEN('Golden Boons'!D9)&gt;=$F$20,LEN('Golden Boons'!D9)&lt;=$E$20),1,0)</x:f>
        <x:v>0</x:v>
      </x:c>
    </x:row>
    <x:row r="21" ht="31" customHeight="1">
      <x:c r="A21" s="79" t="str">
        <x:v>Golden Boons</x:v>
      </x:c>
      <x:c r="B21" s="79" t="str">
        <x:v>Lifecycle</x:v>
      </x:c>
      <x:c r="C21" s="79" t="str">
        <x:v>'Golden Boons'!E5:E9</x:v>
      </x:c>
      <x:c r="D21" s="79" t="str">
        <x:v>Footer lifecycle line</x:v>
      </x:c>
      <x:c r="E21" s="83" t="n">
        <x:v>50</x:v>
      </x:c>
      <x:c r="F21" s="85" t="n">
        <x:f>ROUND(E21*0.9,0)</x:f>
        <x:v>45</x:v>
      </x:c>
      <x:c r="G21" s="85" t="n">
        <x:f>IF(LEN('Golden Boons'!E5)&gt;$E$21,1,0)+IF(LEN('Golden Boons'!E6)&gt;$E$21,1,0)+IF(LEN('Golden Boons'!E7)&gt;$E$21,1,0)+IF(LEN('Golden Boons'!E8)&gt;$E$21,1,0)+IF(LEN('Golden Boons'!E9)&gt;$E$21,1,0)</x:f>
        <x:v>0</x:v>
      </x:c>
      <x:c r="H21" s="85" t="n">
        <x:f>IF(AND(LEN('Golden Boons'!E5)&gt;=$F$21,LEN('Golden Boons'!E5)&lt;=$E$21),1,0)+IF(AND(LEN('Golden Boons'!E6)&gt;=$F$21,LEN('Golden Boons'!E6)&lt;=$E$21),1,0)+IF(AND(LEN('Golden Boons'!E7)&gt;=$F$21,LEN('Golden Boons'!E7)&lt;=$E$21),1,0)+IF(AND(LEN('Golden Boons'!E8)&gt;=$F$21,LEN('Golden Boons'!E8)&lt;=$E$21),1,0)+IF(AND(LEN('Golden Boons'!E9)&gt;=$F$21,LEN('Golden Boons'!E9)&lt;=$E$21),1,0)</x:f>
        <x:v>0</x:v>
      </x:c>
    </x:row>
    <x:row r="22">
      <x:c r="A22" s="69"/>
      <x:c r="B22" s="69"/>
      <x:c r="C22" s="69"/>
      <x:c r="D22" s="69"/>
      <x:c r="E22" s="69"/>
      <x:c r="F22" s="69"/>
      <x:c r="G22" s="69"/>
      <x:c r="H22" s="69"/>
    </x:row>
    <x:row r="23">
      <x:c r="A23" s="69"/>
      <x:c r="B23" s="69"/>
      <x:c r="C23" s="69"/>
      <x:c r="D23" s="69"/>
      <x:c r="E23" s="69"/>
      <x:c r="F23" s="69"/>
      <x:c r="G23" s="69"/>
      <x:c r="H23" s="69"/>
    </x:row>
    <x:row r="24" ht="28" customHeight="1">
      <x:c r="A24" s="77" t="str">
        <x:v>Card type</x:v>
      </x:c>
      <x:c r="B24" s="77" t="str">
        <x:v>Cards checked</x:v>
      </x:c>
      <x:c r="C24" s="77" t="str">
        <x:v>Cards with red text</x:v>
      </x:c>
      <x:c r="D24" s="77" t="str">
        <x:v>Current status</x:v>
      </x:c>
      <x:c r="E24" s="69"/>
      <x:c r="F24" s="69"/>
      <x:c r="G24" s="69"/>
      <x:c r="H24" s="69"/>
    </x:row>
    <x:row r="25">
      <x:c r="A25" s="78" t="str">
        <x:v>Boons</x:v>
      </x:c>
      <x:c r="B25" s="78" t="n">
        <x:v>30</x:v>
      </x:c>
      <x:c r="C25" s="78" t="n">
        <x:f>IF(OR(LEN(Boons!B5)&gt;$E$6,LEN(Boons!C5)&gt;$E$7,LEN(Boons!D5)&gt;$E$8,LEN(Boons!F5)&gt;$E$8,LEN(Boons!H5)&gt;$E$8,LEN(Boons!E5)&gt;$E$9,LEN(Boons!G5)&gt;$E$9,LEN(Boons!I5)&gt;$E$9),1,0)+IF(OR(LEN(Boons!B6)&gt;$E$6,LEN(Boons!C6)&gt;$E$7,LEN(Boons!D6)&gt;$E$8,LEN(Boons!F6)&gt;$E$8,LEN(Boons!H6)&gt;$E$8,LEN(Boons!E6)&gt;$E$9,LEN(Boons!G6)&gt;$E$9,LEN(Boons!I6)&gt;$E$9),1,0)+IF(OR(LEN(Boons!B7)&gt;$E$6,LEN(Boons!C7)&gt;$E$7,LEN(Boons!D7)&gt;$E$8,LEN(Boons!F7)&gt;$E$8,LEN(Boons!H7)&gt;$E$8,LEN(Boons!E7)&gt;$E$9,LEN(Boons!G7)&gt;$E$9,LEN(Boons!I7)&gt;$E$9),1,0)+IF(OR(LEN(Boons!B8)&gt;$E$6,LEN(Boons!C8)&gt;$E$7,LEN(Boons!D8)&gt;$E$8,LEN(Boons!F8)&gt;$E$8,LEN(Boons!H8)&gt;$E$8,LEN(Boons!E8)&gt;$E$9,LEN(Boons!G8)&gt;$E$9,LEN(Boons!I8)&gt;$E$9),1,0)+IF(OR(LEN(Boons!B9)&gt;$E$6,LEN(Boons!C9)&gt;$E$7,LEN(Boons!D9)&gt;$E$8,LEN(Boons!F9)&gt;$E$8,LEN(Boons!H9)&gt;$E$8,LEN(Boons!E9)&gt;$E$9,LEN(Boons!G9)&gt;$E$9,LEN(Boons!I9)&gt;$E$9),1,0)+IF(OR(LEN(Boons!B10)&gt;$E$6,LEN(Boons!C10)&gt;$E$7,LEN(Boons!D10)&gt;$E$8,LEN(Boons!F10)&gt;$E$8,LEN(Boons!H10)&gt;$E$8,LEN(Boons!E10)&gt;$E$9,LEN(Boons!G10)&gt;$E$9,LEN(Boons!I10)&gt;$E$9),1,0)+IF(OR(LEN(Boons!B11)&gt;$E$6,LEN(Boons!C11)&gt;$E$7,LEN(Boons!D11)&gt;$E$8,LEN(Boons!F11)&gt;$E$8,LEN(Boons!H11)&gt;$E$8,LEN(Boons!E11)&gt;$E$9,LEN(Boons!G11)&gt;$E$9,LEN(Boons!I11)&gt;$E$9),1,0)+IF(OR(LEN(Boons!B12)&gt;$E$6,LEN(Boons!C12)&gt;$E$7,LEN(Boons!D12)&gt;$E$8,LEN(Boons!F12)&gt;$E$8,LEN(Boons!H12)&gt;$E$8,LEN(Boons!E12)&gt;$E$9,LEN(Boons!G12)&gt;$E$9,LEN(Boons!I12)&gt;$E$9),1,0)+IF(OR(LEN(Boons!B13)&gt;$E$6,LEN(Boons!C13)&gt;$E$7,LEN(Boons!D13)&gt;$E$8,LEN(Boons!F13)&gt;$E$8,LEN(Boons!H13)&gt;$E$8,LEN(Boons!E13)&gt;$E$9,LEN(Boons!G13)&gt;$E$9,LEN(Boons!I13)&gt;$E$9),1,0)+IF(OR(LEN(Boons!B14)&gt;$E$6,LEN(Boons!C14)&gt;$E$7,LEN(Boons!D14)&gt;$E$8,LEN(Boons!F14)&gt;$E$8,LEN(Boons!H14)&gt;$E$8,LEN(Boons!E14)&gt;$E$9,LEN(Boons!G14)&gt;$E$9,LEN(Boons!I14)&gt;$E$9),1,0)+IF(OR(LEN(Boons!B15)&gt;$E$6,LEN(Boons!C15)&gt;$E$7,LEN(Boons!D15)&gt;$E$8,LEN(Boons!F15)&gt;$E$8,LEN(Boons!H15)&gt;$E$8,LEN(Boons!E15)&gt;$E$9,LEN(Boons!G15)&gt;$E$9,LEN(Boons!I15)&gt;$E$9),1,0)+IF(OR(LEN(Boons!B16)&gt;$E$6,LEN(Boons!C16)&gt;$E$7,LEN(Boons!D16)&gt;$E$8,LEN(Boons!F16)&gt;$E$8,LEN(Boons!H16)&gt;$E$8,LEN(Boons!E16)&gt;$E$9,LEN(Boons!G16)&gt;$E$9,LEN(Boons!I16)&gt;$E$9),1,0)+IF(OR(LEN(Boons!B17)&gt;$E$6,LEN(Boons!C17)&gt;$E$7,LEN(Boons!D17)&gt;$E$8,LEN(Boons!F17)&gt;$E$8,LEN(Boons!H17)&gt;$E$8,LEN(Boons!E17)&gt;$E$9,LEN(Boons!G17)&gt;$E$9,LEN(Boons!I17)&gt;$E$9),1,0)+IF(OR(LEN(Boons!B18)&gt;$E$6,LEN(Boons!C18)&gt;$E$7,LEN(Boons!D18)&gt;$E$8,LEN(Boons!F18)&gt;$E$8,LEN(Boons!H18)&gt;$E$8,LEN(Boons!E18)&gt;$E$9,LEN(Boons!G18)&gt;$E$9,LEN(Boons!I18)&gt;$E$9),1,0)+IF(OR(LEN(Boons!B19)&gt;$E$6,LEN(Boons!C19)&gt;$E$7,LEN(Boons!D19)&gt;$E$8,LEN(Boons!F19)&gt;$E$8,LEN(Boons!H19)&gt;$E$8,LEN(Boons!E19)&gt;$E$9,LEN(Boons!G19)&gt;$E$9,LEN(Boons!I19)&gt;$E$9),1,0)+IF(OR(LEN(Boons!B20)&gt;$E$6,LEN(Boons!C20)&gt;$E$7,LEN(Boons!D20)&gt;$E$8,LEN(Boons!F20)&gt;$E$8,LEN(Boons!H20)&gt;$E$8,LEN(Boons!E20)&gt;$E$9,LEN(Boons!G20)&gt;$E$9,LEN(Boons!I20)&gt;$E$9),1,0)+IF(OR(LEN(Boons!B21)&gt;$E$6,LEN(Boons!C21)&gt;$E$7,LEN(Boons!D21)&gt;$E$8,LEN(Boons!F21)&gt;$E$8,LEN(Boons!H21)&gt;$E$8,LEN(Boons!E21)&gt;$E$9,LEN(Boons!G21)&gt;$E$9,LEN(Boons!I21)&gt;$E$9),1,0)+IF(OR(LEN(Boons!B22)&gt;$E$6,LEN(Boons!C22)&gt;$E$7,LEN(Boons!D22)&gt;$E$8,LEN(Boons!F22)&gt;$E$8,LEN(Boons!H22)&gt;$E$8,LEN(Boons!E22)&gt;$E$9,LEN(Boons!G22)&gt;$E$9,LEN(Boons!I22)&gt;$E$9),1,0)+IF(OR(LEN(Boons!B23)&gt;$E$6,LEN(Boons!C23)&gt;$E$7,LEN(Boons!D23)&gt;$E$8,LEN(Boons!F23)&gt;$E$8,LEN(Boons!H23)&gt;$E$8,LEN(Boons!E23)&gt;$E$9,LEN(Boons!G23)&gt;$E$9,LEN(Boons!I23)&gt;$E$9),1,0)+IF(OR(LEN(Boons!B24)&gt;$E$6,LEN(Boons!C24)&gt;$E$7,LEN(Boons!D24)&gt;$E$8,LEN(Boons!F24)&gt;$E$8,LEN(Boons!H24)&gt;$E$8,LEN(Boons!E24)&gt;$E$9,LEN(Boons!G24)&gt;$E$9,LEN(Boons!I24)&gt;$E$9),1,0)+IF(OR(LEN(Boons!B25)&gt;$E$6,LEN(Boons!C25)&gt;$E$7,LEN(Boons!D25)&gt;$E$8,LEN(Boons!F25)&gt;$E$8,LEN(Boons!H25)&gt;$E$8,LEN(Boons!E25)&gt;$E$9,LEN(Boons!G25)&gt;$E$9,LEN(Boons!I25)&gt;$E$9),1,0)+IF(OR(LEN(Boons!B26)&gt;$E$6,LEN(Boons!C26)&gt;$E$7,LEN(Boons!D26)&gt;$E$8,LEN(Boons!F26)&gt;$E$8,LEN(Boons!H26)&gt;$E$8,LEN(Boons!E26)&gt;$E$9,LEN(Boons!G26)&gt;$E$9,LEN(Boons!I26)&gt;$E$9),1,0)+IF(OR(LEN(Boons!B27)&gt;$E$6,LEN(Boons!C27)&gt;$E$7,LEN(Boons!D27)&gt;$E$8,LEN(Boons!F27)&gt;$E$8,LEN(Boons!H27)&gt;$E$8,LEN(Boons!E27)&gt;$E$9,LEN(Boons!G27)&gt;$E$9,LEN(Boons!I27)&gt;$E$9),1,0)+IF(OR(LEN(Boons!B28)&gt;$E$6,LEN(Boons!C28)&gt;$E$7,LEN(Boons!D28)&gt;$E$8,LEN(Boons!F28)&gt;$E$8,LEN(Boons!H28)&gt;$E$8,LEN(Boons!E28)&gt;$E$9,LEN(Boons!G28)&gt;$E$9,LEN(Boons!I28)&gt;$E$9),1,0)+IF(OR(LEN(Boons!B29)&gt;$E$6,LEN(Boons!C29)&gt;$E$7,LEN(Boons!D29)&gt;$E$8,LEN(Boons!F29)&gt;$E$8,LEN(Boons!H29)&gt;$E$8,LEN(Boons!E29)&gt;$E$9,LEN(Boons!G29)&gt;$E$9,LEN(Boons!I29)&gt;$E$9),1,0)+IF(OR(LEN(Boons!B30)&gt;$E$6,LEN(Boons!C30)&gt;$E$7,LEN(Boons!D30)&gt;$E$8,LEN(Boons!F30)&gt;$E$8,LEN(Boons!H30)&gt;$E$8,LEN(Boons!E30)&gt;$E$9,LEN(Boons!G30)&gt;$E$9,LEN(Boons!I30)&gt;$E$9),1,0)+IF(OR(LEN(Boons!B31)&gt;$E$6,LEN(Boons!C31)&gt;$E$7,LEN(Boons!D31)&gt;$E$8,LEN(Boons!F31)&gt;$E$8,LEN(Boons!H31)&gt;$E$8,LEN(Boons!E31)&gt;$E$9,LEN(Boons!G31)&gt;$E$9,LEN(Boons!I31)&gt;$E$9),1,0)</x:f>
        <x:v>0</x:v>
      </x:c>
      <x:c r="D25" s="78" t="str">
        <x:f>IF(C25=0,"All fit","Shorten "&amp;C25&amp;" card(s)")</x:f>
        <x:v>All fit</x:v>
      </x:c>
      <x:c r="E25" s="69"/>
      <x:c r="F25" s="69"/>
      <x:c r="G25" s="69"/>
      <x:c r="H25" s="69"/>
    </x:row>
    <x:row r="26">
      <x:c r="A26" s="78" t="str">
        <x:v>Burdens</x:v>
      </x:c>
      <x:c r="B26" s="78" t="n">
        <x:v>30</x:v>
      </x:c>
      <x:c r="C26" s="78" t="n">
        <x:f>IF(OR(LEN(Burdens!B5)&gt;$E$10,LEN(Burdens!C5)&gt;$E$11,LEN(Burdens!D5)&gt;$E$12,LEN(Burdens!F5)&gt;$E$12,LEN(Burdens!H5)&gt;$E$12,LEN(Burdens!E5)&gt;$E$13,LEN(Burdens!G5)&gt;$E$13,LEN(Burdens!I5)&gt;$E$13),1,0)+IF(OR(LEN(Burdens!B6)&gt;$E$10,LEN(Burdens!C6)&gt;$E$11,LEN(Burdens!D6)&gt;$E$12,LEN(Burdens!F6)&gt;$E$12,LEN(Burdens!H6)&gt;$E$12,LEN(Burdens!E6)&gt;$E$13,LEN(Burdens!G6)&gt;$E$13,LEN(Burdens!I6)&gt;$E$13),1,0)+IF(OR(LEN(Burdens!B7)&gt;$E$10,LEN(Burdens!C7)&gt;$E$11,LEN(Burdens!D7)&gt;$E$12,LEN(Burdens!F7)&gt;$E$12,LEN(Burdens!H7)&gt;$E$12,LEN(Burdens!E7)&gt;$E$13,LEN(Burdens!G7)&gt;$E$13,LEN(Burdens!I7)&gt;$E$13),1,0)+IF(OR(LEN(Burdens!B8)&gt;$E$10,LEN(Burdens!C8)&gt;$E$11,LEN(Burdens!D8)&gt;$E$12,LEN(Burdens!F8)&gt;$E$12,LEN(Burdens!H8)&gt;$E$12,LEN(Burdens!E8)&gt;$E$13,LEN(Burdens!G8)&gt;$E$13,LEN(Burdens!I8)&gt;$E$13),1,0)+IF(OR(LEN(Burdens!B9)&gt;$E$10,LEN(Burdens!C9)&gt;$E$11,LEN(Burdens!D9)&gt;$E$12,LEN(Burdens!F9)&gt;$E$12,LEN(Burdens!H9)&gt;$E$12,LEN(Burdens!E9)&gt;$E$13,LEN(Burdens!G9)&gt;$E$13,LEN(Burdens!I9)&gt;$E$13),1,0)+IF(OR(LEN(Burdens!B10)&gt;$E$10,LEN(Burdens!C10)&gt;$E$11,LEN(Burdens!D10)&gt;$E$12,LEN(Burdens!F10)&gt;$E$12,LEN(Burdens!H10)&gt;$E$12,LEN(Burdens!E10)&gt;$E$13,LEN(Burdens!G10)&gt;$E$13,LEN(Burdens!I10)&gt;$E$13),1,0)+IF(OR(LEN(Burdens!B11)&gt;$E$10,LEN(Burdens!C11)&gt;$E$11,LEN(Burdens!D11)&gt;$E$12,LEN(Burdens!F11)&gt;$E$12,LEN(Burdens!H11)&gt;$E$12,LEN(Burdens!E11)&gt;$E$13,LEN(Burdens!G11)&gt;$E$13,LEN(Burdens!I11)&gt;$E$13),1,0)+IF(OR(LEN(Burdens!B12)&gt;$E$10,LEN(Burdens!C12)&gt;$E$11,LEN(Burdens!D12)&gt;$E$12,LEN(Burdens!F12)&gt;$E$12,LEN(Burdens!H12)&gt;$E$12,LEN(Burdens!E12)&gt;$E$13,LEN(Burdens!G12)&gt;$E$13,LEN(Burdens!I12)&gt;$E$13),1,0)+IF(OR(LEN(Burdens!B13)&gt;$E$10,LEN(Burdens!C13)&gt;$E$11,LEN(Burdens!D13)&gt;$E$12,LEN(Burdens!F13)&gt;$E$12,LEN(Burdens!H13)&gt;$E$12,LEN(Burdens!E13)&gt;$E$13,LEN(Burdens!G13)&gt;$E$13,LEN(Burdens!I13)&gt;$E$13),1,0)+IF(OR(LEN(Burdens!B14)&gt;$E$10,LEN(Burdens!C14)&gt;$E$11,LEN(Burdens!D14)&gt;$E$12,LEN(Burdens!F14)&gt;$E$12,LEN(Burdens!H14)&gt;$E$12,LEN(Burdens!E14)&gt;$E$13,LEN(Burdens!G14)&gt;$E$13,LEN(Burdens!I14)&gt;$E$13),1,0)+IF(OR(LEN(Burdens!B15)&gt;$E$10,LEN(Burdens!C15)&gt;$E$11,LEN(Burdens!D15)&gt;$E$12,LEN(Burdens!F15)&gt;$E$12,LEN(Burdens!H15)&gt;$E$12,LEN(Burdens!E15)&gt;$E$13,LEN(Burdens!G15)&gt;$E$13,LEN(Burdens!I15)&gt;$E$13),1,0)+IF(OR(LEN(Burdens!B16)&gt;$E$10,LEN(Burdens!C16)&gt;$E$11,LEN(Burdens!D16)&gt;$E$12,LEN(Burdens!F16)&gt;$E$12,LEN(Burdens!H16)&gt;$E$12,LEN(Burdens!E16)&gt;$E$13,LEN(Burdens!G16)&gt;$E$13,LEN(Burdens!I16)&gt;$E$13),1,0)+IF(OR(LEN(Burdens!B17)&gt;$E$10,LEN(Burdens!C17)&gt;$E$11,LEN(Burdens!D17)&gt;$E$12,LEN(Burdens!F17)&gt;$E$12,LEN(Burdens!H17)&gt;$E$12,LEN(Burdens!E17)&gt;$E$13,LEN(Burdens!G17)&gt;$E$13,LEN(Burdens!I17)&gt;$E$13),1,0)+IF(OR(LEN(Burdens!B18)&gt;$E$10,LEN(Burdens!C18)&gt;$E$11,LEN(Burdens!D18)&gt;$E$12,LEN(Burdens!F18)&gt;$E$12,LEN(Burdens!H18)&gt;$E$12,LEN(Burdens!E18)&gt;$E$13,LEN(Burdens!G18)&gt;$E$13,LEN(Burdens!I18)&gt;$E$13),1,0)+IF(OR(LEN(Burdens!B19)&gt;$E$10,LEN(Burdens!C19)&gt;$E$11,LEN(Burdens!D19)&gt;$E$12,LEN(Burdens!F19)&gt;$E$12,LEN(Burdens!H19)&gt;$E$12,LEN(Burdens!E19)&gt;$E$13,LEN(Burdens!G19)&gt;$E$13,LEN(Burdens!I19)&gt;$E$13),1,0)+IF(OR(LEN(Burdens!B20)&gt;$E$10,LEN(Burdens!C20)&gt;$E$11,LEN(Burdens!D20)&gt;$E$12,LEN(Burdens!F20)&gt;$E$12,LEN(Burdens!H20)&gt;$E$12,LEN(Burdens!E20)&gt;$E$13,LEN(Burdens!G20)&gt;$E$13,LEN(Burdens!I20)&gt;$E$13),1,0)+IF(OR(LEN(Burdens!B21)&gt;$E$10,LEN(Burdens!C21)&gt;$E$11,LEN(Burdens!D21)&gt;$E$12,LEN(Burdens!F21)&gt;$E$12,LEN(Burdens!H21)&gt;$E$12,LEN(Burdens!E21)&gt;$E$13,LEN(Burdens!G21)&gt;$E$13,LEN(Burdens!I21)&gt;$E$13),1,0)+IF(OR(LEN(Burdens!B22)&gt;$E$10,LEN(Burdens!C22)&gt;$E$11,LEN(Burdens!D22)&gt;$E$12,LEN(Burdens!F22)&gt;$E$12,LEN(Burdens!H22)&gt;$E$12,LEN(Burdens!E22)&gt;$E$13,LEN(Burdens!G22)&gt;$E$13,LEN(Burdens!I22)&gt;$E$13),1,0)+IF(OR(LEN(Burdens!B23)&gt;$E$10,LEN(Burdens!C23)&gt;$E$11,LEN(Burdens!D23)&gt;$E$12,LEN(Burdens!F23)&gt;$E$12,LEN(Burdens!H23)&gt;$E$12,LEN(Burdens!E23)&gt;$E$13,LEN(Burdens!G23)&gt;$E$13,LEN(Burdens!I23)&gt;$E$13),1,0)+IF(OR(LEN(Burdens!B24)&gt;$E$10,LEN(Burdens!C24)&gt;$E$11,LEN(Burdens!D24)&gt;$E$12,LEN(Burdens!F24)&gt;$E$12,LEN(Burdens!H24)&gt;$E$12,LEN(Burdens!E24)&gt;$E$13,LEN(Burdens!G24)&gt;$E$13,LEN(Burdens!I24)&gt;$E$13),1,0)+IF(OR(LEN(Burdens!B25)&gt;$E$10,LEN(Burdens!C25)&gt;$E$11,LEN(Burdens!D25)&gt;$E$12,LEN(Burdens!F25)&gt;$E$12,LEN(Burdens!H25)&gt;$E$12,LEN(Burdens!E25)&gt;$E$13,LEN(Burdens!G25)&gt;$E$13,LEN(Burdens!I25)&gt;$E$13),1,0)+IF(OR(LEN(Burdens!B26)&gt;$E$10,LEN(Burdens!C26)&gt;$E$11,LEN(Burdens!D26)&gt;$E$12,LEN(Burdens!F26)&gt;$E$12,LEN(Burdens!H26)&gt;$E$12,LEN(Burdens!E26)&gt;$E$13,LEN(Burdens!G26)&gt;$E$13,LEN(Burdens!I26)&gt;$E$13),1,0)+IF(OR(LEN(Burdens!B27)&gt;$E$10,LEN(Burdens!C27)&gt;$E$11,LEN(Burdens!D27)&gt;$E$12,LEN(Burdens!F27)&gt;$E$12,LEN(Burdens!H27)&gt;$E$12,LEN(Burdens!E27)&gt;$E$13,LEN(Burdens!G27)&gt;$E$13,LEN(Burdens!I27)&gt;$E$13),1,0)+IF(OR(LEN(Burdens!B28)&gt;$E$10,LEN(Burdens!C28)&gt;$E$11,LEN(Burdens!D28)&gt;$E$12,LEN(Burdens!F28)&gt;$E$12,LEN(Burdens!H28)&gt;$E$12,LEN(Burdens!E28)&gt;$E$13,LEN(Burdens!G28)&gt;$E$13,LEN(Burdens!I28)&gt;$E$13),1,0)+IF(OR(LEN(Burdens!B29)&gt;$E$10,LEN(Burdens!C29)&gt;$E$11,LEN(Burdens!D29)&gt;$E$12,LEN(Burdens!F29)&gt;$E$12,LEN(Burdens!H29)&gt;$E$12,LEN(Burdens!E29)&gt;$E$13,LEN(Burdens!G29)&gt;$E$13,LEN(Burdens!I29)&gt;$E$13),1,0)+IF(OR(LEN(Burdens!B30)&gt;$E$10,LEN(Burdens!C30)&gt;$E$11,LEN(Burdens!D30)&gt;$E$12,LEN(Burdens!F30)&gt;$E$12,LEN(Burdens!H30)&gt;$E$12,LEN(Burdens!E30)&gt;$E$13,LEN(Burdens!G30)&gt;$E$13,LEN(Burdens!I30)&gt;$E$13),1,0)+IF(OR(LEN(Burdens!B31)&gt;$E$10,LEN(Burdens!C31)&gt;$E$11,LEN(Burdens!D31)&gt;$E$12,LEN(Burdens!F31)&gt;$E$12,LEN(Burdens!H31)&gt;$E$12,LEN(Burdens!E31)&gt;$E$13,LEN(Burdens!G31)&gt;$E$13,LEN(Burdens!I31)&gt;$E$13),1,0)</x:f>
        <x:v>0</x:v>
      </x:c>
      <x:c r="D26" s="78" t="str">
        <x:f>IF(C26=0,"All fit","Shorten "&amp;C26&amp;" card(s)")</x:f>
        <x:v>All fit</x:v>
      </x:c>
      <x:c r="E26" s="69"/>
      <x:c r="F26" s="69"/>
      <x:c r="G26" s="69"/>
      <x:c r="H26" s="69"/>
    </x:row>
    <x:row r="27">
      <x:c r="A27" s="78" t="str">
        <x:v>Arrivals</x:v>
      </x:c>
      <x:c r="B27" s="78" t="n">
        <x:f>COUNTA(Arrivals!A5:A29)</x:f>
        <x:v>25</x:v>
      </x:c>
      <x:c r="C27" s="78" t="n">
        <x:f>IF(OR(LEN(Arrivals!B5)&gt;$E$14,LEN(Arrivals!C5)&gt;$E$15,LEN(Arrivals!D5)&gt;$E$16,LEN(Arrivals!E5)&gt;$E$17),1,0)+IF(OR(LEN(Arrivals!B6)&gt;$E$14,LEN(Arrivals!C6)&gt;$E$15,LEN(Arrivals!D6)&gt;$E$16,LEN(Arrivals!E6)&gt;$E$17),1,0)+IF(OR(LEN(Arrivals!B7)&gt;$E$14,LEN(Arrivals!C7)&gt;$E$15,LEN(Arrivals!D7)&gt;$E$16,LEN(Arrivals!E7)&gt;$E$17),1,0)+IF(OR(LEN(Arrivals!B8)&gt;$E$14,LEN(Arrivals!C8)&gt;$E$15,LEN(Arrivals!D8)&gt;$E$16,LEN(Arrivals!E8)&gt;$E$17),1,0)+IF(OR(LEN(Arrivals!B9)&gt;$E$14,LEN(Arrivals!C9)&gt;$E$15,LEN(Arrivals!D9)&gt;$E$16,LEN(Arrivals!E9)&gt;$E$17),1,0)+IF(OR(LEN(Arrivals!B10)&gt;$E$14,LEN(Arrivals!C10)&gt;$E$15,LEN(Arrivals!D10)&gt;$E$16,LEN(Arrivals!E10)&gt;$E$17),1,0)+IF(OR(LEN(Arrivals!B11)&gt;$E$14,LEN(Arrivals!C11)&gt;$E$15,LEN(Arrivals!D11)&gt;$E$16,LEN(Arrivals!E11)&gt;$E$17),1,0)+IF(OR(LEN(Arrivals!B12)&gt;$E$14,LEN(Arrivals!C12)&gt;$E$15,LEN(Arrivals!D12)&gt;$E$16,LEN(Arrivals!E12)&gt;$E$17),1,0)+IF(OR(LEN(Arrivals!B13)&gt;$E$14,LEN(Arrivals!C13)&gt;$E$15,LEN(Arrivals!D13)&gt;$E$16,LEN(Arrivals!E13)&gt;$E$17),1,0)+IF(OR(LEN(Arrivals!B14)&gt;$E$14,LEN(Arrivals!C14)&gt;$E$15,LEN(Arrivals!D14)&gt;$E$16,LEN(Arrivals!E14)&gt;$E$17),1,0)+IF(OR(LEN(Arrivals!B15)&gt;$E$14,LEN(Arrivals!C15)&gt;$E$15,LEN(Arrivals!D15)&gt;$E$16,LEN(Arrivals!E15)&gt;$E$17),1,0)+IF(OR(LEN(Arrivals!B16)&gt;$E$14,LEN(Arrivals!C16)&gt;$E$15,LEN(Arrivals!D16)&gt;$E$16,LEN(Arrivals!E16)&gt;$E$17),1,0)+IF(OR(LEN(Arrivals!B17)&gt;$E$14,LEN(Arrivals!C17)&gt;$E$15,LEN(Arrivals!D17)&gt;$E$16,LEN(Arrivals!E17)&gt;$E$17),1,0)+IF(OR(LEN(Arrivals!B18)&gt;$E$14,LEN(Arrivals!C18)&gt;$E$15,LEN(Arrivals!D18)&gt;$E$16,LEN(Arrivals!E18)&gt;$E$17),1,0)+IF(OR(LEN(Arrivals!B19)&gt;$E$14,LEN(Arrivals!C19)&gt;$E$15,LEN(Arrivals!D19)&gt;$E$16,LEN(Arrivals!E19)&gt;$E$17),1,0)+IF(OR(LEN(Arrivals!B20)&gt;$E$14,LEN(Arrivals!C20)&gt;$E$15,LEN(Arrivals!D20)&gt;$E$16,LEN(Arrivals!E20)&gt;$E$17),1,0)+IF(OR(LEN(Arrivals!B21)&gt;$E$14,LEN(Arrivals!C21)&gt;$E$15,LEN(Arrivals!D21)&gt;$E$16,LEN(Arrivals!E21)&gt;$E$17),1,0)+IF(OR(LEN(Arrivals!B22)&gt;$E$14,LEN(Arrivals!C22)&gt;$E$15,LEN(Arrivals!D22)&gt;$E$16,LEN(Arrivals!E22)&gt;$E$17),1,0)+IF(OR(LEN(Arrivals!B23)&gt;$E$14,LEN(Arrivals!C23)&gt;$E$15,LEN(Arrivals!D23)&gt;$E$16,LEN(Arrivals!E23)&gt;$E$17),1,0)+IF(OR(LEN(Arrivals!B24)&gt;$E$14,LEN(Arrivals!C24)&gt;$E$15,LEN(Arrivals!D24)&gt;$E$16,LEN(Arrivals!E24)&gt;$E$17),1,0)+IF(OR(LEN(Arrivals!B25)&gt;$E$14,LEN(Arrivals!C25)&gt;$E$15,LEN(Arrivals!D25)&gt;$E$16,LEN(Arrivals!E25)&gt;$E$17),1,0)+IF(OR(LEN(Arrivals!B26)&gt;$E$14,LEN(Arrivals!C26)&gt;$E$15,LEN(Arrivals!D26)&gt;$E$16,LEN(Arrivals!E26)&gt;$E$17),1,0)+IF(OR(LEN(Arrivals!B27)&gt;$E$14,LEN(Arrivals!C27)&gt;$E$15,LEN(Arrivals!D27)&gt;$E$16,LEN(Arrivals!E27)&gt;$E$17),1,0)+IF(OR(LEN(Arrivals!B28)&gt;$E$14,LEN(Arrivals!C28)&gt;$E$15,LEN(Arrivals!D28)&gt;$E$16,LEN(Arrivals!E28)&gt;$E$17),1,0)+IF(OR(LEN(Arrivals!B29)&gt;$E$14,LEN(Arrivals!C29)&gt;$E$15,LEN(Arrivals!D29)&gt;$E$16,LEN(Arrivals!E29)&gt;$E$17),1,0)</x:f>
        <x:v>0</x:v>
      </x:c>
      <x:c r="D27" s="78" t="str">
        <x:f>IF(C27=0,"All fit","Shorten "&amp;C27&amp;" card(s)")</x:f>
        <x:v>All fit</x:v>
      </x:c>
      <x:c r="E27" s="69"/>
      <x:c r="F27" s="69"/>
      <x:c r="G27" s="69"/>
      <x:c r="H27" s="69"/>
    </x:row>
    <x:row r="28">
      <x:c r="A28" s="78" t="str">
        <x:v>Golden Boons</x:v>
      </x:c>
      <x:c r="B28" s="78" t="n">
        <x:f>COUNTA('Golden Boons'!A5:A9)</x:f>
        <x:v>5</x:v>
      </x:c>
      <x:c r="C28" s="78" t="n">
        <x:f>IF(OR(LEN('Golden Boons'!B5)&gt;$E$18,LEN('Golden Boons'!C5)&gt;$E$19,LEN('Golden Boons'!D5)&gt;$E$20,LEN('Golden Boons'!E5)&gt;$E$21),1,0)+IF(OR(LEN('Golden Boons'!B6)&gt;$E$18,LEN('Golden Boons'!C6)&gt;$E$19,LEN('Golden Boons'!D6)&gt;$E$20,LEN('Golden Boons'!E6)&gt;$E$21),1,0)+IF(OR(LEN('Golden Boons'!B7)&gt;$E$18,LEN('Golden Boons'!C7)&gt;$E$19,LEN('Golden Boons'!D7)&gt;$E$20,LEN('Golden Boons'!E7)&gt;$E$21),1,0)+IF(OR(LEN('Golden Boons'!B8)&gt;$E$18,LEN('Golden Boons'!C8)&gt;$E$19,LEN('Golden Boons'!D8)&gt;$E$20,LEN('Golden Boons'!E8)&gt;$E$21),1,0)+IF(OR(LEN('Golden Boons'!B9)&gt;$E$18,LEN('Golden Boons'!C9)&gt;$E$19,LEN('Golden Boons'!D9)&gt;$E$20,LEN('Golden Boons'!E9)&gt;$E$21),1,0)</x:f>
        <x:v>0</x:v>
      </x:c>
      <x:c r="D28" s="78" t="str">
        <x:f>IF(C28=0,"All fit","Shorten "&amp;C28&amp;" card(s)")</x:f>
        <x:v>All fit</x:v>
      </x:c>
      <x:c r="E28" s="69"/>
      <x:c r="F28" s="69"/>
      <x:c r="G28" s="69"/>
      <x:c r="H28" s="69"/>
    </x:row>
    <x:row r="29">
      <x:c r="A29" s="88" t="str">
        <x:v>Total</x:v>
      </x:c>
      <x:c r="B29" s="88" t="n">
        <x:f>SUM(B25:B28)</x:f>
        <x:v>90</x:v>
      </x:c>
      <x:c r="C29" s="88" t="n">
        <x:f>SUM(C25:C28)</x:f>
        <x:v>0</x:v>
      </x:c>
      <x:c r="D29" s="88" t="str">
        <x:f>IF(C29=0,"All encounter cards fit","Red cells identify required edits")</x:f>
        <x:v>All encounter cards fit</x:v>
      </x:c>
      <x:c r="E29" s="69"/>
      <x:c r="F29" s="69"/>
      <x:c r="G29" s="69"/>
      <x:c r="H29" s="69"/>
    </x:row>
    <x:row r="30">
      <x:c r="A30" s="69"/>
      <x:c r="B30" s="69"/>
      <x:c r="C30" s="69"/>
      <x:c r="D30" s="69"/>
      <x:c r="E30" s="69"/>
      <x:c r="F30" s="69"/>
      <x:c r="G30" s="69"/>
      <x:c r="H30" s="69"/>
    </x:row>
    <x:row r="31" ht="30" customHeight="1">
      <x:c r="A31" s="95" t="str">
        <x:v>Final production check: character counts are deliberately conservative. Visually proof all amber cells and any title with unusually wide words in the locked PSD before print export.</x:v>
      </x:c>
      <x:c r="B31" s="96"/>
      <x:c r="C31" s="96"/>
      <x:c r="D31" s="96"/>
      <x:c r="E31" s="96"/>
      <x:c r="F31" s="96"/>
      <x:c r="G31" s="96"/>
      <x:c r="H31" s="97"/>
    </x:row>
    <x:row r="32" ht="30" customHeight="1">
      <x:c r="A32" s="98"/>
      <x:c r="B32" s="99"/>
      <x:c r="C32" s="99"/>
      <x:c r="D32" s="99"/>
      <x:c r="E32" s="99"/>
      <x:c r="F32" s="99"/>
      <x:c r="G32" s="99"/>
      <x:c r="H32" s="100"/>
    </x:row>
    <x:row r="34" ht="30" customHeight="1">
      <x:c r="A34" s="119" t="str">
        <x:v>Non-Flavour Encounter Text Implementation</x:v>
      </x:c>
      <x:c r="B34" s="119"/>
      <x:c r="C34" s="119"/>
      <x:c r="D34" s="119"/>
      <x:c r="E34" s="119"/>
      <x:c r="F34" s="119"/>
      <x:c r="G34" s="119"/>
      <x:c r="H34" s="119"/>
    </x:row>
    <x:row r="35" ht="30" customHeight="1">
      <x:c r="A35" s="122" t="str">
        <x:v>This panel excludes titles and flavour text. The existing audit above continues to flag those separately.</x:v>
      </x:c>
      <x:c r="B35" s="122"/>
      <x:c r="C35" s="122"/>
      <x:c r="D35" s="122"/>
      <x:c r="E35" s="122"/>
      <x:c r="F35" s="122"/>
      <x:c r="G35" s="122"/>
      <x:c r="H35" s="122"/>
    </x:row>
    <x:row r="37" ht="28" customHeight="1">
      <x:c r="A37" s="123" t="str">
        <x:v>Card type</x:v>
      </x:c>
      <x:c r="B37" s="123" t="str">
        <x:v>Fields checked</x:v>
      </x:c>
      <x:c r="C37" s="123" t="str">
        <x:v>Over-limit fields</x:v>
      </x:c>
      <x:c r="D37" s="123" t="str">
        <x:v>Status</x:v>
      </x:c>
    </x:row>
    <x:row r="38">
      <x:c r="A38" s="124" t="str">
        <x:v>Boons</x:v>
      </x:c>
      <x:c r="B38" s="124" t="n">
        <x:v>180</x:v>
      </x:c>
      <x:c r="C38" s="124" t="n">
        <x:f>IF(LEN('Boons'!D5)&gt;110,1,0)+IF(LEN('Boons'!D6)&gt;110,1,0)+IF(LEN('Boons'!D7)&gt;110,1,0)+IF(LEN('Boons'!D8)&gt;110,1,0)+IF(LEN('Boons'!D9)&gt;110,1,0)+IF(LEN('Boons'!D10)&gt;110,1,0)+IF(LEN('Boons'!D11)&gt;110,1,0)+IF(LEN('Boons'!D12)&gt;110,1,0)+IF(LEN('Boons'!D13)&gt;110,1,0)+IF(LEN('Boons'!D14)&gt;110,1,0)+IF(LEN('Boons'!D15)&gt;110,1,0)+IF(LEN('Boons'!D16)&gt;110,1,0)+IF(LEN('Boons'!D17)&gt;110,1,0)+IF(LEN('Boons'!D18)&gt;110,1,0)+IF(LEN('Boons'!D19)&gt;110,1,0)+IF(LEN('Boons'!D20)&gt;110,1,0)+IF(LEN('Boons'!D21)&gt;110,1,0)+IF(LEN('Boons'!D22)&gt;110,1,0)+IF(LEN('Boons'!D23)&gt;110,1,0)+IF(LEN('Boons'!D24)&gt;110,1,0)+IF(LEN('Boons'!D25)&gt;110,1,0)+IF(LEN('Boons'!D26)&gt;110,1,0)+IF(LEN('Boons'!D27)&gt;110,1,0)+IF(LEN('Boons'!D28)&gt;110,1,0)+IF(LEN('Boons'!D29)&gt;110,1,0)+IF(LEN('Boons'!D30)&gt;110,1,0)+IF(LEN('Boons'!D31)&gt;110,1,0)+IF(LEN('Boons'!D32)&gt;110,1,0)+IF(LEN('Boons'!D33)&gt;110,1,0)+IF(LEN('Boons'!D34)&gt;110,1,0)+IF(LEN('Boons'!E5)&gt;65,1,0)+IF(LEN('Boons'!E6)&gt;65,1,0)+IF(LEN('Boons'!E7)&gt;65,1,0)+IF(LEN('Boons'!E8)&gt;65,1,0)+IF(LEN('Boons'!E9)&gt;65,1,0)+IF(LEN('Boons'!E10)&gt;65,1,0)+IF(LEN('Boons'!E11)&gt;65,1,0)+IF(LEN('Boons'!E12)&gt;65,1,0)+IF(LEN('Boons'!E13)&gt;65,1,0)+IF(LEN('Boons'!E14)&gt;65,1,0)+IF(LEN('Boons'!E15)&gt;65,1,0)+IF(LEN('Boons'!E16)&gt;65,1,0)+IF(LEN('Boons'!E17)&gt;65,1,0)+IF(LEN('Boons'!E18)&gt;65,1,0)+IF(LEN('Boons'!E19)&gt;65,1,0)+IF(LEN('Boons'!E20)&gt;65,1,0)+IF(LEN('Boons'!E21)&gt;65,1,0)+IF(LEN('Boons'!E22)&gt;65,1,0)+IF(LEN('Boons'!E23)&gt;65,1,0)+IF(LEN('Boons'!E24)&gt;65,1,0)+IF(LEN('Boons'!E25)&gt;65,1,0)+IF(LEN('Boons'!E26)&gt;65,1,0)+IF(LEN('Boons'!E27)&gt;65,1,0)+IF(LEN('Boons'!E28)&gt;65,1,0)+IF(LEN('Boons'!E29)&gt;65,1,0)+IF(LEN('Boons'!E30)&gt;65,1,0)+IF(LEN('Boons'!E31)&gt;65,1,0)+IF(LEN('Boons'!E32)&gt;65,1,0)+IF(LEN('Boons'!E33)&gt;65,1,0)+IF(LEN('Boons'!E34)&gt;65,1,0)+IF(LEN('Boons'!F5)&gt;110,1,0)+IF(LEN('Boons'!F6)&gt;110,1,0)+IF(LEN('Boons'!F7)&gt;110,1,0)+IF(LEN('Boons'!F8)&gt;110,1,0)+IF(LEN('Boons'!F9)&gt;110,1,0)+IF(LEN('Boons'!F10)&gt;110,1,0)+IF(LEN('Boons'!F11)&gt;110,1,0)+IF(LEN('Boons'!F12)&gt;110,1,0)+IF(LEN('Boons'!F13)&gt;110,1,0)+IF(LEN('Boons'!F14)&gt;110,1,0)+IF(LEN('Boons'!F15)&gt;110,1,0)+IF(LEN('Boons'!F16)&gt;110,1,0)+IF(LEN('Boons'!F17)&gt;110,1,0)+IF(LEN('Boons'!F18)&gt;110,1,0)+IF(LEN('Boons'!F19)&gt;110,1,0)+IF(LEN('Boons'!F20)&gt;110,1,0)+IF(LEN('Boons'!F21)&gt;110,1,0)+IF(LEN('Boons'!F22)&gt;110,1,0)+IF(LEN('Boons'!F23)&gt;110,1,0)+IF(LEN('Boons'!F24)&gt;110,1,0)+IF(LEN('Boons'!F25)&gt;110,1,0)+IF(LEN('Boons'!F26)&gt;110,1,0)+IF(LEN('Boons'!F27)&gt;110,1,0)+IF(LEN('Boons'!F28)&gt;110,1,0)+IF(LEN('Boons'!F29)&gt;110,1,0)+IF(LEN('Boons'!F30)&gt;110,1,0)+IF(LEN('Boons'!F31)&gt;110,1,0)+IF(LEN('Boons'!F32)&gt;110,1,0)+IF(LEN('Boons'!F33)&gt;110,1,0)+IF(LEN('Boons'!F34)&gt;110,1,0)+IF(LEN('Boons'!G5)&gt;65,1,0)+IF(LEN('Boons'!G6)&gt;65,1,0)+IF(LEN('Boons'!G7)&gt;65,1,0)+IF(LEN('Boons'!G8)&gt;65,1,0)+IF(LEN('Boons'!G9)&gt;65,1,0)+IF(LEN('Boons'!G10)&gt;65,1,0)+IF(LEN('Boons'!G11)&gt;65,1,0)+IF(LEN('Boons'!G12)&gt;65,1,0)+IF(LEN('Boons'!G13)&gt;65,1,0)+IF(LEN('Boons'!G14)&gt;65,1,0)+IF(LEN('Boons'!G15)&gt;65,1,0)+IF(LEN('Boons'!G16)&gt;65,1,0)+IF(LEN('Boons'!G17)&gt;65,1,0)+IF(LEN('Boons'!G18)&gt;65,1,0)+IF(LEN('Boons'!G19)&gt;65,1,0)+IF(LEN('Boons'!G20)&gt;65,1,0)+IF(LEN('Boons'!G21)&gt;65,1,0)+IF(LEN('Boons'!G22)&gt;65,1,0)+IF(LEN('Boons'!G23)&gt;65,1,0)+IF(LEN('Boons'!G24)&gt;65,1,0)+IF(LEN('Boons'!G25)&gt;65,1,0)+IF(LEN('Boons'!G26)&gt;65,1,0)+IF(LEN('Boons'!G27)&gt;65,1,0)+IF(LEN('Boons'!G28)&gt;65,1,0)+IF(LEN('Boons'!G29)&gt;65,1,0)+IF(LEN('Boons'!G30)&gt;65,1,0)+IF(LEN('Boons'!G31)&gt;65,1,0)+IF(LEN('Boons'!G32)&gt;65,1,0)+IF(LEN('Boons'!G33)&gt;65,1,0)+IF(LEN('Boons'!G34)&gt;65,1,0)+IF(LEN('Boons'!H5)&gt;110,1,0)+IF(LEN('Boons'!H6)&gt;110,1,0)+IF(LEN('Boons'!H7)&gt;110,1,0)+IF(LEN('Boons'!H8)&gt;110,1,0)+IF(LEN('Boons'!H9)&gt;110,1,0)+IF(LEN('Boons'!H10)&gt;110,1,0)+IF(LEN('Boons'!H11)&gt;110,1,0)+IF(LEN('Boons'!H12)&gt;110,1,0)+IF(LEN('Boons'!H13)&gt;110,1,0)+IF(LEN('Boons'!H14)&gt;110,1,0)+IF(LEN('Boons'!H15)&gt;110,1,0)+IF(LEN('Boons'!H16)&gt;110,1,0)+IF(LEN('Boons'!H17)&gt;110,1,0)+IF(LEN('Boons'!H18)&gt;110,1,0)+IF(LEN('Boons'!H19)&gt;110,1,0)+IF(LEN('Boons'!H20)&gt;110,1,0)+IF(LEN('Boons'!H21)&gt;110,1,0)+IF(LEN('Boons'!H22)&gt;110,1,0)+IF(LEN('Boons'!H23)&gt;110,1,0)+IF(LEN('Boons'!H24)&gt;110,1,0)+IF(LEN('Boons'!H25)&gt;110,1,0)+IF(LEN('Boons'!H26)&gt;110,1,0)+IF(LEN('Boons'!H27)&gt;110,1,0)+IF(LEN('Boons'!H28)&gt;110,1,0)+IF(LEN('Boons'!H29)&gt;110,1,0)+IF(LEN('Boons'!H30)&gt;110,1,0)+IF(LEN('Boons'!H31)&gt;110,1,0)+IF(LEN('Boons'!H32)&gt;110,1,0)+IF(LEN('Boons'!H33)&gt;110,1,0)+IF(LEN('Boons'!H34)&gt;110,1,0)+IF(LEN('Boons'!I5)&gt;65,1,0)+IF(LEN('Boons'!I6)&gt;65,1,0)+IF(LEN('Boons'!I7)&gt;65,1,0)+IF(LEN('Boons'!I8)&gt;65,1,0)+IF(LEN('Boons'!I9)&gt;65,1,0)+IF(LEN('Boons'!I10)&gt;65,1,0)+IF(LEN('Boons'!I11)&gt;65,1,0)+IF(LEN('Boons'!I12)&gt;65,1,0)+IF(LEN('Boons'!I13)&gt;65,1,0)+IF(LEN('Boons'!I14)&gt;65,1,0)+IF(LEN('Boons'!I15)&gt;65,1,0)+IF(LEN('Boons'!I16)&gt;65,1,0)+IF(LEN('Boons'!I17)&gt;65,1,0)+IF(LEN('Boons'!I18)&gt;65,1,0)+IF(LEN('Boons'!I19)&gt;65,1,0)+IF(LEN('Boons'!I20)&gt;65,1,0)+IF(LEN('Boons'!I21)&gt;65,1,0)+IF(LEN('Boons'!I22)&gt;65,1,0)+IF(LEN('Boons'!I23)&gt;65,1,0)+IF(LEN('Boons'!I24)&gt;65,1,0)+IF(LEN('Boons'!I25)&gt;65,1,0)+IF(LEN('Boons'!I26)&gt;65,1,0)+IF(LEN('Boons'!I27)&gt;65,1,0)+IF(LEN('Boons'!I28)&gt;65,1,0)+IF(LEN('Boons'!I29)&gt;65,1,0)+IF(LEN('Boons'!I30)&gt;65,1,0)+IF(LEN('Boons'!I31)&gt;65,1,0)+IF(LEN('Boons'!I32)&gt;65,1,0)+IF(LEN('Boons'!I33)&gt;65,1,0)+IF(LEN('Boons'!I34)&gt;65,1,0)</x:f>
        <x:v>0</x:v>
      </x:c>
      <x:c r="D38" s="124" t="str">
        <x:f>IF(C38=0,"All non-flavour fields fit","Shorten "&amp;C38&amp;" field(s)")</x:f>
        <x:v>All non-flavour fields fit</x:v>
      </x:c>
    </x:row>
    <x:row r="39">
      <x:c r="A39" s="124" t="str">
        <x:v>Burdens</x:v>
      </x:c>
      <x:c r="B39" s="124" t="n">
        <x:v>180</x:v>
      </x:c>
      <x:c r="C39" s="124" t="n">
        <x:f>IF(LEN('Burdens'!D5)&gt;110,1,0)+IF(LEN('Burdens'!D6)&gt;110,1,0)+IF(LEN('Burdens'!D7)&gt;110,1,0)+IF(LEN('Burdens'!D8)&gt;110,1,0)+IF(LEN('Burdens'!D9)&gt;110,1,0)+IF(LEN('Burdens'!D10)&gt;110,1,0)+IF(LEN('Burdens'!D11)&gt;110,1,0)+IF(LEN('Burdens'!D12)&gt;110,1,0)+IF(LEN('Burdens'!D13)&gt;110,1,0)+IF(LEN('Burdens'!D14)&gt;110,1,0)+IF(LEN('Burdens'!D15)&gt;110,1,0)+IF(LEN('Burdens'!D16)&gt;110,1,0)+IF(LEN('Burdens'!D17)&gt;110,1,0)+IF(LEN('Burdens'!D18)&gt;110,1,0)+IF(LEN('Burdens'!D19)&gt;110,1,0)+IF(LEN('Burdens'!D20)&gt;110,1,0)+IF(LEN('Burdens'!D21)&gt;110,1,0)+IF(LEN('Burdens'!D22)&gt;110,1,0)+IF(LEN('Burdens'!D23)&gt;110,1,0)+IF(LEN('Burdens'!D24)&gt;110,1,0)+IF(LEN('Burdens'!D25)&gt;110,1,0)+IF(LEN('Burdens'!D26)&gt;110,1,0)+IF(LEN('Burdens'!D27)&gt;110,1,0)+IF(LEN('Burdens'!D28)&gt;110,1,0)+IF(LEN('Burdens'!D29)&gt;110,1,0)+IF(LEN('Burdens'!D30)&gt;110,1,0)+IF(LEN('Burdens'!D31)&gt;110,1,0)+IF(LEN('Burdens'!D32)&gt;110,1,0)+IF(LEN('Burdens'!D33)&gt;110,1,0)+IF(LEN('Burdens'!D34)&gt;110,1,0)+IF(LEN('Burdens'!E5)&gt;65,1,0)+IF(LEN('Burdens'!E6)&gt;65,1,0)+IF(LEN('Burdens'!E7)&gt;65,1,0)+IF(LEN('Burdens'!E8)&gt;65,1,0)+IF(LEN('Burdens'!E9)&gt;65,1,0)+IF(LEN('Burdens'!E10)&gt;65,1,0)+IF(LEN('Burdens'!E11)&gt;65,1,0)+IF(LEN('Burdens'!E12)&gt;65,1,0)+IF(LEN('Burdens'!E13)&gt;65,1,0)+IF(LEN('Burdens'!E14)&gt;65,1,0)+IF(LEN('Burdens'!E15)&gt;65,1,0)+IF(LEN('Burdens'!E16)&gt;65,1,0)+IF(LEN('Burdens'!E17)&gt;65,1,0)+IF(LEN('Burdens'!E18)&gt;65,1,0)+IF(LEN('Burdens'!E19)&gt;65,1,0)+IF(LEN('Burdens'!E20)&gt;65,1,0)+IF(LEN('Burdens'!E21)&gt;65,1,0)+IF(LEN('Burdens'!E22)&gt;65,1,0)+IF(LEN('Burdens'!E23)&gt;65,1,0)+IF(LEN('Burdens'!E24)&gt;65,1,0)+IF(LEN('Burdens'!E25)&gt;65,1,0)+IF(LEN('Burdens'!E26)&gt;65,1,0)+IF(LEN('Burdens'!E27)&gt;65,1,0)+IF(LEN('Burdens'!E28)&gt;65,1,0)+IF(LEN('Burdens'!E29)&gt;65,1,0)+IF(LEN('Burdens'!E30)&gt;65,1,0)+IF(LEN('Burdens'!E31)&gt;65,1,0)+IF(LEN('Burdens'!E32)&gt;65,1,0)+IF(LEN('Burdens'!E33)&gt;65,1,0)+IF(LEN('Burdens'!E34)&gt;65,1,0)+IF(LEN('Burdens'!F5)&gt;110,1,0)+IF(LEN('Burdens'!F6)&gt;110,1,0)+IF(LEN('Burdens'!F7)&gt;110,1,0)+IF(LEN('Burdens'!F8)&gt;110,1,0)+IF(LEN('Burdens'!F9)&gt;110,1,0)+IF(LEN('Burdens'!F10)&gt;110,1,0)+IF(LEN('Burdens'!F11)&gt;110,1,0)+IF(LEN('Burdens'!F12)&gt;110,1,0)+IF(LEN('Burdens'!F13)&gt;110,1,0)+IF(LEN('Burdens'!F14)&gt;110,1,0)+IF(LEN('Burdens'!F15)&gt;110,1,0)+IF(LEN('Burdens'!F16)&gt;110,1,0)+IF(LEN('Burdens'!F17)&gt;110,1,0)+IF(LEN('Burdens'!F18)&gt;110,1,0)+IF(LEN('Burdens'!F19)&gt;110,1,0)+IF(LEN('Burdens'!F20)&gt;110,1,0)+IF(LEN('Burdens'!F21)&gt;110,1,0)+IF(LEN('Burdens'!F22)&gt;110,1,0)+IF(LEN('Burdens'!F23)&gt;110,1,0)+IF(LEN('Burdens'!F24)&gt;110,1,0)+IF(LEN('Burdens'!F25)&gt;110,1,0)+IF(LEN('Burdens'!F26)&gt;110,1,0)+IF(LEN('Burdens'!F27)&gt;110,1,0)+IF(LEN('Burdens'!F28)&gt;110,1,0)+IF(LEN('Burdens'!F29)&gt;110,1,0)+IF(LEN('Burdens'!F30)&gt;110,1,0)+IF(LEN('Burdens'!F31)&gt;110,1,0)+IF(LEN('Burdens'!F32)&gt;110,1,0)+IF(LEN('Burdens'!F33)&gt;110,1,0)+IF(LEN('Burdens'!F34)&gt;110,1,0)+IF(LEN('Burdens'!G5)&gt;65,1,0)+IF(LEN('Burdens'!G6)&gt;65,1,0)+IF(LEN('Burdens'!G7)&gt;65,1,0)+IF(LEN('Burdens'!G8)&gt;65,1,0)+IF(LEN('Burdens'!G9)&gt;65,1,0)+IF(LEN('Burdens'!G10)&gt;65,1,0)+IF(LEN('Burdens'!G11)&gt;65,1,0)+IF(LEN('Burdens'!G12)&gt;65,1,0)+IF(LEN('Burdens'!G13)&gt;65,1,0)+IF(LEN('Burdens'!G14)&gt;65,1,0)+IF(LEN('Burdens'!G15)&gt;65,1,0)+IF(LEN('Burdens'!G16)&gt;65,1,0)+IF(LEN('Burdens'!G17)&gt;65,1,0)+IF(LEN('Burdens'!G18)&gt;65,1,0)+IF(LEN('Burdens'!G19)&gt;65,1,0)+IF(LEN('Burdens'!G20)&gt;65,1,0)+IF(LEN('Burdens'!G21)&gt;65,1,0)+IF(LEN('Burdens'!G22)&gt;65,1,0)+IF(LEN('Burdens'!G23)&gt;65,1,0)+IF(LEN('Burdens'!G24)&gt;65,1,0)+IF(LEN('Burdens'!G25)&gt;65,1,0)+IF(LEN('Burdens'!G26)&gt;65,1,0)+IF(LEN('Burdens'!G27)&gt;65,1,0)+IF(LEN('Burdens'!G28)&gt;65,1,0)+IF(LEN('Burdens'!G29)&gt;65,1,0)+IF(LEN('Burdens'!G30)&gt;65,1,0)+IF(LEN('Burdens'!G31)&gt;65,1,0)+IF(LEN('Burdens'!G32)&gt;65,1,0)+IF(LEN('Burdens'!G33)&gt;65,1,0)+IF(LEN('Burdens'!G34)&gt;65,1,0)+IF(LEN('Burdens'!H5)&gt;110,1,0)+IF(LEN('Burdens'!H6)&gt;110,1,0)+IF(LEN('Burdens'!H7)&gt;110,1,0)+IF(LEN('Burdens'!H8)&gt;110,1,0)+IF(LEN('Burdens'!H9)&gt;110,1,0)+IF(LEN('Burdens'!H10)&gt;110,1,0)+IF(LEN('Burdens'!H11)&gt;110,1,0)+IF(LEN('Burdens'!H12)&gt;110,1,0)+IF(LEN('Burdens'!H13)&gt;110,1,0)+IF(LEN('Burdens'!H14)&gt;110,1,0)+IF(LEN('Burdens'!H15)&gt;110,1,0)+IF(LEN('Burdens'!H16)&gt;110,1,0)+IF(LEN('Burdens'!H17)&gt;110,1,0)+IF(LEN('Burdens'!H18)&gt;110,1,0)+IF(LEN('Burdens'!H19)&gt;110,1,0)+IF(LEN('Burdens'!H20)&gt;110,1,0)+IF(LEN('Burdens'!H21)&gt;110,1,0)+IF(LEN('Burdens'!H22)&gt;110,1,0)+IF(LEN('Burdens'!H23)&gt;110,1,0)+IF(LEN('Burdens'!H24)&gt;110,1,0)+IF(LEN('Burdens'!H25)&gt;110,1,0)+IF(LEN('Burdens'!H26)&gt;110,1,0)+IF(LEN('Burdens'!H27)&gt;110,1,0)+IF(LEN('Burdens'!H28)&gt;110,1,0)+IF(LEN('Burdens'!H29)&gt;110,1,0)+IF(LEN('Burdens'!H30)&gt;110,1,0)+IF(LEN('Burdens'!H31)&gt;110,1,0)+IF(LEN('Burdens'!H32)&gt;110,1,0)+IF(LEN('Burdens'!H33)&gt;110,1,0)+IF(LEN('Burdens'!H34)&gt;110,1,0)+IF(LEN('Burdens'!I5)&gt;65,1,0)+IF(LEN('Burdens'!I6)&gt;65,1,0)+IF(LEN('Burdens'!I7)&gt;65,1,0)+IF(LEN('Burdens'!I8)&gt;65,1,0)+IF(LEN('Burdens'!I9)&gt;65,1,0)+IF(LEN('Burdens'!I10)&gt;65,1,0)+IF(LEN('Burdens'!I11)&gt;65,1,0)+IF(LEN('Burdens'!I12)&gt;65,1,0)+IF(LEN('Burdens'!I13)&gt;65,1,0)+IF(LEN('Burdens'!I14)&gt;65,1,0)+IF(LEN('Burdens'!I15)&gt;65,1,0)+IF(LEN('Burdens'!I16)&gt;65,1,0)+IF(LEN('Burdens'!I17)&gt;65,1,0)+IF(LEN('Burdens'!I18)&gt;65,1,0)+IF(LEN('Burdens'!I19)&gt;65,1,0)+IF(LEN('Burdens'!I20)&gt;65,1,0)+IF(LEN('Burdens'!I21)&gt;65,1,0)+IF(LEN('Burdens'!I22)&gt;65,1,0)+IF(LEN('Burdens'!I23)&gt;65,1,0)+IF(LEN('Burdens'!I24)&gt;65,1,0)+IF(LEN('Burdens'!I25)&gt;65,1,0)+IF(LEN('Burdens'!I26)&gt;65,1,0)+IF(LEN('Burdens'!I27)&gt;65,1,0)+IF(LEN('Burdens'!I28)&gt;65,1,0)+IF(LEN('Burdens'!I29)&gt;65,1,0)+IF(LEN('Burdens'!I30)&gt;65,1,0)+IF(LEN('Burdens'!I31)&gt;65,1,0)+IF(LEN('Burdens'!I32)&gt;65,1,0)+IF(LEN('Burdens'!I33)&gt;65,1,0)+IF(LEN('Burdens'!I34)&gt;65,1,0)</x:f>
        <x:v>0</x:v>
      </x:c>
      <x:c r="D39" s="124" t="str">
        <x:f>IF(C39=0,"All non-flavour fields fit","Shorten "&amp;C39&amp;" field(s)")</x:f>
        <x:v>All non-flavour fields fit</x:v>
      </x:c>
    </x:row>
    <x:row r="40">
      <x:c r="A40" s="124" t="str">
        <x:v>Arrivals</x:v>
      </x:c>
      <x:c r="B40" s="124" t="n">
        <x:v>50</x:v>
      </x:c>
      <x:c r="C40" s="124" t="n">
        <x:f>IF(LEN(Arrivals!D5)&gt;60,1,0)+IF(LEN(Arrivals!D6)&gt;60,1,0)+IF(LEN(Arrivals!D7)&gt;60,1,0)+IF(LEN(Arrivals!D8)&gt;60,1,0)+IF(LEN(Arrivals!D9)&gt;60,1,0)+IF(LEN(Arrivals!D10)&gt;60,1,0)+IF(LEN(Arrivals!D11)&gt;60,1,0)+IF(LEN(Arrivals!D12)&gt;60,1,0)+IF(LEN(Arrivals!D13)&gt;60,1,0)+IF(LEN(Arrivals!D14)&gt;60,1,0)+IF(LEN(Arrivals!D15)&gt;60,1,0)+IF(LEN(Arrivals!D16)&gt;60,1,0)+IF(LEN(Arrivals!D17)&gt;60,1,0)+IF(LEN(Arrivals!D18)&gt;60,1,0)+IF(LEN(Arrivals!D19)&gt;60,1,0)+IF(LEN(Arrivals!D20)&gt;60,1,0)+IF(LEN(Arrivals!D21)&gt;60,1,0)+IF(LEN(Arrivals!D22)&gt;60,1,0)+IF(LEN(Arrivals!D23)&gt;60,1,0)+IF(LEN(Arrivals!D24)&gt;60,1,0)+IF(LEN(Arrivals!D25)&gt;60,1,0)+IF(LEN(Arrivals!D26)&gt;60,1,0)+IF(LEN(Arrivals!D27)&gt;60,1,0)+IF(LEN(Arrivals!D28)&gt;60,1,0)+IF(LEN(Arrivals!D29)&gt;60,1,0)+IF(LEN(Arrivals!E5)&gt;40,1,0)+IF(LEN(Arrivals!E6)&gt;40,1,0)+IF(LEN(Arrivals!E7)&gt;40,1,0)+IF(LEN(Arrivals!E8)&gt;40,1,0)+IF(LEN(Arrivals!E9)&gt;40,1,0)+IF(LEN(Arrivals!E10)&gt;40,1,0)+IF(LEN(Arrivals!E11)&gt;40,1,0)+IF(LEN(Arrivals!E12)&gt;40,1,0)+IF(LEN(Arrivals!E13)&gt;40,1,0)+IF(LEN(Arrivals!E14)&gt;40,1,0)+IF(LEN(Arrivals!E15)&gt;40,1,0)+IF(LEN(Arrivals!E16)&gt;40,1,0)+IF(LEN(Arrivals!E17)&gt;40,1,0)+IF(LEN(Arrivals!E18)&gt;40,1,0)+IF(LEN(Arrivals!E19)&gt;40,1,0)+IF(LEN(Arrivals!E20)&gt;40,1,0)+IF(LEN(Arrivals!E21)&gt;40,1,0)+IF(LEN(Arrivals!E22)&gt;40,1,0)+IF(LEN(Arrivals!E23)&gt;40,1,0)+IF(LEN(Arrivals!E24)&gt;40,1,0)+IF(LEN(Arrivals!E25)&gt;40,1,0)+IF(LEN(Arrivals!E26)&gt;40,1,0)+IF(LEN(Arrivals!E27)&gt;40,1,0)+IF(LEN(Arrivals!E28)&gt;40,1,0)+IF(LEN(Arrivals!E29)&gt;40,1,0)</x:f>
        <x:v>0</x:v>
      </x:c>
      <x:c r="D40" s="124" t="str">
        <x:f>IF(C40=0,"All non-flavour fields fit","Shorten "&amp;C40&amp;" field(s)")</x:f>
        <x:v>All non-flavour fields fit</x:v>
      </x:c>
    </x:row>
    <x:row r="41">
      <x:c r="A41" s="124" t="str">
        <x:v>Golden Boons</x:v>
      </x:c>
      <x:c r="B41" s="124" t="n">
        <x:v>10</x:v>
      </x:c>
      <x:c r="C41" s="124" t="n">
        <x:f>IF(LEN('Golden Boons'!D5)&gt;430,1,0)+IF(LEN('Golden Boons'!D6)&gt;430,1,0)+IF(LEN('Golden Boons'!D7)&gt;430,1,0)+IF(LEN('Golden Boons'!D8)&gt;430,1,0)+IF(LEN('Golden Boons'!D9)&gt;430,1,0)+IF(LEN('Golden Boons'!E5)&gt;50,1,0)+IF(LEN('Golden Boons'!E6)&gt;50,1,0)+IF(LEN('Golden Boons'!E7)&gt;50,1,0)+IF(LEN('Golden Boons'!E8)&gt;50,1,0)+IF(LEN('Golden Boons'!E9)&gt;50,1,0)</x:f>
        <x:v>0</x:v>
      </x:c>
      <x:c r="D41" s="124" t="str">
        <x:f>IF(C41=0,"All non-flavour fields fit","Shorten "&amp;C41&amp;" field(s)")</x:f>
        <x:v>All non-flavour fields fit</x:v>
      </x:c>
    </x:row>
    <x:row r="42">
      <x:c r="A42" s="127" t="str">
        <x:v>Total</x:v>
      </x:c>
      <x:c r="B42" s="127" t="n">
        <x:f>SUM(B38:B41)</x:f>
        <x:v>420</x:v>
      </x:c>
      <x:c r="C42" s="127" t="n">
        <x:f>SUM(C38:C41)</x:f>
        <x:v>0</x:v>
      </x:c>
      <x:c r="D42" s="127" t="str">
        <x:f>IF(C42=0,"All non-flavour Encounter text fits","Further edits required")</x:f>
        <x:v>All non-flavour Encounter text fits</x:v>
      </x:c>
    </x:row>
    <x:row r="44" ht="30" customHeight="1">
      <x:c r="A44" s="140" t="str">
        <x:v>Production note: character counts are conservative. Proof all amber fields in the locked PSD because word width and manual line breaks still affect fit.</x:v>
      </x:c>
      <x:c r="B44" s="141"/>
      <x:c r="C44" s="141"/>
      <x:c r="D44" s="141"/>
      <x:c r="E44" s="141"/>
      <x:c r="F44" s="141"/>
      <x:c r="G44" s="141"/>
      <x:c r="H44" s="142"/>
    </x:row>
    <x:row r="45" ht="30" customHeight="1">
      <x:c r="A45" s="143"/>
      <x:c r="B45" s="144"/>
      <x:c r="C45" s="144"/>
      <x:c r="D45" s="144"/>
      <x:c r="E45" s="144"/>
      <x:c r="F45" s="144"/>
      <x:c r="G45" s="144"/>
      <x:c r="H45" s="145"/>
    </x:row>
  </x:sheetData>
  <x:mergeCells>
    <x:mergeCell ref="A1:H1"/>
    <x:mergeCell ref="A2:H2"/>
    <x:mergeCell ref="A3:H3"/>
    <x:mergeCell ref="A31:H32"/>
    <x:mergeCell ref="A34:H34"/>
    <x:mergeCell ref="A35:H35"/>
    <x:mergeCell ref="A44:H45"/>
  </x:mergeCells>
  <x:conditionalFormatting sqref="C25:C29">
    <x:cfRule type="expression" dxfId="52" priority="1">
      <x:formula>C25&gt;0</x:formula>
    </x:cfRule>
  </x:conditionalFormatting>
  <x:conditionalFormatting sqref="D25:D29">
    <x:cfRule type="expression" dxfId="53" priority="2">
      <x:formula>$C25&gt;0</x:formula>
    </x:cfRule>
  </x:conditionalFormatting>
  <x:conditionalFormatting sqref="G6:G21">
    <x:cfRule type="expression" dxfId="54" priority="3">
      <x:formula>G6&gt;0</x:formula>
    </x:cfRule>
  </x:conditionalFormatting>
  <x:conditionalFormatting sqref="H6:H21">
    <x:cfRule type="expression" dxfId="55" priority="4">
      <x:formula>H6&gt;0</x:formula>
    </x:cfRule>
  </x:conditionalFormatting>
  <x:conditionalFormatting sqref="C38:C42">
    <x:cfRule type="expression" dxfId="56" priority="5">
      <x:formula>C38&gt;0</x:formula>
    </x:cfRule>
  </x:conditionalFormatting>
  <x:conditionalFormatting sqref="D38:D42">
    <x:cfRule type="expression" dxfId="57" priority="6">
      <x:formula>$C38&gt;0</x:formula>
    </x:cfRule>
  </x:conditionalFormatting>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2" hidden="0" customWidth="1"/>
    <x:col min="2" max="2" width="82" hidden="0" customWidth="1"/>
    <x:col min="3" max="3" width="48" hidden="0" customWidth="1"/>
  </x:cols>
  <x:sheetData>
    <x:row r="1" ht="30" customHeight="1">
      <x:c r="A1" s="107" t="str">
        <x:v>Encounter Card Text Rules</x:v>
      </x:c>
      <x:c r="B1" s="107"/>
      <x:c r="C1" s="107"/>
    </x:row>
    <x:row r="2" ht="40" customHeight="1">
      <x:c r="A2" s="110" t="str">
        <x:v>Production reference for all Boon, Burden, Arrival and Golden Boon text. Copy these conventions into the rulebook or player aid before printing.</x:v>
      </x:c>
      <x:c r="B2" s="110"/>
      <x:c r="C2" s="110"/>
    </x:row>
    <x:row r="3">
      <x:c r="A3" s="104"/>
      <x:c r="B3" s="104"/>
      <x:c r="C3" s="104"/>
    </x:row>
    <x:row r="4" ht="28" customHeight="1">
      <x:c r="A4" s="113" t="str">
        <x:v>Area</x:v>
      </x:c>
      <x:c r="B4" s="113" t="str">
        <x:v>Production rule</x:v>
      </x:c>
      <x:c r="C4" s="113" t="str">
        <x:v>Card example</x:v>
      </x:c>
    </x:row>
    <x:row r="5" ht="46" customHeight="1">
      <x:c r="A5" s="116" t="str">
        <x:v>Strain cap</x:v>
      </x:c>
      <x:c r="B5" s="114" t="str">
        <x:v>A Tile can never hold more than 3 Strain. When an Encounter adds Strain, Tiles at 3 Strain are ineligible.</x:v>
      </x:c>
      <x:c r="C5" s="114" t="str">
        <x:v>Choose 1 Housing Tile: +1 Strain.</x:v>
      </x:c>
    </x:row>
    <x:row r="6" ht="46" customHeight="1">
      <x:c r="A6" s="116" t="str">
        <x:v>Partial resolution</x:v>
      </x:c>
      <x:c r="B6" s="114" t="str">
        <x:v>If the full amount or number of legal targets is unavailable, place as much Strain as possible on as many eligible Tiles as possible.</x:v>
      </x:c>
      <x:c r="C6" s="114" t="str">
        <x:v>Choose 3 Tiles: +1 Strain each.</x:v>
      </x:c>
    </x:row>
    <x:row r="7" ht="46" customHeight="1">
      <x:c r="A7" s="116" t="str">
        <x:v>If none</x:v>
      </x:c>
      <x:c r="B7" s="114" t="str">
        <x:v>‘If none’ means no legal target exists. It never means the resolver voluntarily chose zero targets.</x:v>
      </x:c>
      <x:c r="C7" s="114" t="str">
        <x:v>If none, lose 2 Goods.</x:v>
      </x:c>
    </x:row>
    <x:row r="8" ht="46" customHeight="1">
      <x:c r="A8" s="116" t="str">
        <x:v>Strain symbols</x:v>
      </x:c>
      <x:c r="B8" s="114" t="str">
        <x:v>+N Strain means place N Strain. −N Strain means remove exactly N Strain. Keep ‘remove up to N’ when the amount is optional.</x:v>
      </x:c>
      <x:c r="C8" s="114" t="str">
        <x:v>+1 Strain / −1 Strain</x:v>
      </x:c>
    </x:row>
    <x:row r="9" ht="46" customHeight="1">
      <x:c r="A9" s="116" t="str">
        <x:v>Tile references</x:v>
      </x:c>
      <x:c r="B9" s="114" t="str">
        <x:v>When an Encounter places or removes tokens from a Tile, that Tile is already placed unless the card says otherwise. ‘Beside’ and ‘neighbour’ mean adjacent.</x:v>
      </x:c>
      <x:c r="C9" s="114" t="str">
        <x:v>−1 Strain from any Tile.</x:v>
      </x:c>
    </x:row>
    <x:row r="10" ht="46" customHeight="1">
      <x:c r="A10" s="116" t="str">
        <x:v>Tile families</x:v>
      </x:c>
      <x:c r="B10" s="114" t="str">
        <x:v>Lumber, Farm, Mine, Gathering and Salvage Tiles each include both the basic and upgraded side of that Tile family.</x:v>
      </x:c>
      <x:c r="C10" s="114" t="str">
        <x:v>Mine Tile = Mine Tunnel or Mine Shaft</x:v>
      </x:c>
    </x:row>
    <x:row r="11" ht="46" customHeight="1">
      <x:c r="A11" s="116" t="str">
        <x:v>Slash</x:v>
      </x:c>
      <x:c r="B11" s="114" t="str">
        <x:v>A slash between Tile categories means either category. When selecting several Tiles, any mix is allowed. A slash between resources means any mix of those resources.</x:v>
      </x:c>
      <x:c r="C11" s="114" t="str">
        <x:v>Travel/Resource · Food/Goods</x:v>
      </x:c>
    </x:row>
    <x:row r="12" ht="46" customHeight="1">
      <x:c r="A12" s="116" t="str">
        <x:v>Season timing</x:v>
      </x:c>
      <x:c r="B12" s="114" t="str">
        <x:v>Use the current Season box. ‘Next’ means the next qualifying use in the current Season unless the card says ‘this round’.</x:v>
      </x:c>
      <x:c r="C12" s="114" t="str">
        <x:v>Next Farm Production: +1 Food.</x:v>
      </x:c>
    </x:row>
    <x:row r="13" ht="46" customHeight="1">
      <x:c r="A13" s="116" t="str">
        <x:v>Costs and rules</x:v>
      </x:c>
      <x:c r="B13" s="114" t="str">
        <x:v>Changing one named cost changes only that cost. All unmentioned costs and normal placement or upgrade rules still apply.</x:v>
      </x:c>
      <x:c r="C13" s="114" t="str">
        <x:v>Place next Travel Tile for 0 Actions.</x:v>
      </x:c>
    </x:row>
    <x:row r="14" ht="68" customHeight="1">
      <x:c r="A14" s="116" t="str">
        <x:v>Lifecycle and resolution</x:v>
      </x:c>
      <x:c r="B14" s="114" t="str">
        <x:v>Use the printed plain-language lifecycle. Immediate Boons resolve and discard. Kept Boons and Burdens use the agreed wording below.</x:v>
      </x:c>
      <x:c r="C14" s="114" t="str">
        <x:v>Keep until used or Season end.
Keep until 2 uses or Season end.
Spend 1 Action, pay 2 Goods, discard.</x:v>
      </x:c>
    </x:row>
    <x:row r="15" ht="46" customHeight="1">
      <x:c r="A15" s="172" t="str">
        <x:v>Punctuation</x:v>
      </x:c>
      <x:c r="B15" s="177" t="str">
        <x:v>Do not use semicolons in any product text. Use full stops, commas or separate instructions instead.</x:v>
      </x:c>
      <x:c r="C15" s="177" t="str">
        <x:v>Gain 2 Wood. Then −1 Strain.</x:v>
      </x:c>
    </x:row>
  </x:sheetData>
  <x:mergeCells>
    <x:mergeCell ref="A1:C1"/>
    <x:mergeCell ref="A2:C2"/>
  </x:mergeCells>
  <x:pageMargins left="0.7" right="0.7" top="0.75" bottom="0.75" header="0.3" footer="0.3"/>
</x:worksheet>
</file>